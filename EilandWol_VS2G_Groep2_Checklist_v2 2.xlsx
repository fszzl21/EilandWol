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✅ Verplichte Onderdelen" sheetId="1" state="visible" r:id="rId3"/>
    <sheet name="⭐ Optionele Onderdelen" sheetId="2" state="visible" r:id="rId4"/>
    <sheet name="🏆 Scorekaart Studenten" sheetId="3" state="visible" r:id="rId5"/>
    <sheet name="🌐 IP-Adresplan" sheetId="4" state="visible" r:id="rId6"/>
    <sheet name="📡 Netwerk &amp; Poorten" sheetId="5" state="visible" r:id="rId7"/>
    <sheet name="🖧 VyOS Referenti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<sst xmlns="http://schemas.openxmlformats.org/spreadsheetml/2006/main" count="936" uniqueCount="656">
  <si>
    <t xml:space="preserve">EilandWol – Verplichte Teamonderdelen  |  VS2G Groep 2  |  eilandwol.groep2.vs2g</t>
  </si>
  <si>
    <t xml:space="preserve">Node 51: 10.3.0.51/10.2.0.51/10.1.0.51   |   Node 52: 10.3.0.52/10.2.0.52/10.1.0.52   |   DHCP: 10.3.1.200–10.3.1.207   |   Rocky Linux 9 + Windows Server 2022   |   VyOS routers</t>
  </si>
  <si>
    <t xml:space="preserve">Alle onderstaande onderdelen zijn VERPLICHT voor het hele team. Status bijhouden per onderdeel.</t>
  </si>
  <si>
    <t xml:space="preserve">#</t>
  </si>
  <si>
    <t xml:space="preserve">Onderdeel</t>
  </si>
  <si>
    <t xml:space="preserve">Categorie</t>
  </si>
  <si>
    <t xml:space="preserve">Status</t>
  </si>
  <si>
    <t xml:space="preserve">Verantwoordelijke(n)</t>
  </si>
  <si>
    <t xml:space="preserve">IP / Host</t>
  </si>
  <si>
    <t xml:space="preserve">Platform / Tool</t>
  </si>
  <si>
    <t xml:space="preserve">Configuratiebestand / Locatie</t>
  </si>
  <si>
    <t xml:space="preserve">Notities / Testbewijs</t>
  </si>
  <si>
    <t xml:space="preserve">Bijgewerkt</t>
  </si>
  <si>
    <t xml:space="preserve">🖥  PROXMOX CLUSTER &amp; INFRASTRUCTUUR</t>
  </si>
  <si>
    <t xml:space="preserve">Proxmox node 1 (51) geïnstalleerd &amp; operationeel</t>
  </si>
  <si>
    <t xml:space="preserve">Infra</t>
  </si>
  <si>
    <t xml:space="preserve">✅ Klaar</t>
  </si>
  <si>
    <t xml:space="preserve">10.3.0.51 / 10.2.0.51 / 10.1.0.51</t>
  </si>
  <si>
    <t xml:space="preserve">Proxmox VE 8.x</t>
  </si>
  <si>
    <t xml:space="preserve">https://10.3.0.51:8006</t>
  </si>
  <si>
    <t xml:space="preserve">VLAN-aware bridge vmbr0 actief</t>
  </si>
  <si>
    <t xml:space="preserve">Proxmox node 2 (52) geïnstalleerd &amp; operationeel</t>
  </si>
  <si>
    <t xml:space="preserve">10.3.0.52 / 10.2.0.52 / 10.1.0.52</t>
  </si>
  <si>
    <t xml:space="preserve">https://10.3.0.52:8006</t>
  </si>
  <si>
    <t xml:space="preserve">Proxmox 2-node CLUSTER geconfigureerd</t>
  </si>
  <si>
    <t xml:space="preserve">❌ Nog doen</t>
  </si>
  <si>
    <t xml:space="preserve">10.3.0.51 + 10.3.0.52</t>
  </si>
  <si>
    <t xml:space="preserve">Proxmox Cluster (corosync)</t>
  </si>
  <si>
    <t xml:space="preserve">Datacenter → Cluster → Create Cluster</t>
  </si>
  <si>
    <t xml:space="preserve">pvecm create eilandwol-cluster; beide nodes lid</t>
  </si>
  <si>
    <t xml:space="preserve">TrueNAS als shared storage ingericht</t>
  </si>
  <si>
    <t xml:space="preserve">10.1.0.x (storage-net)</t>
  </si>
  <si>
    <t xml:space="preserve">TrueNAS SCALE</t>
  </si>
  <si>
    <t xml:space="preserve">https://10.1.0.x → Storage → Pools</t>
  </si>
  <si>
    <t xml:space="preserve">NFS of iSCSI share gekoppeld aan beide Proxmox-nodes</t>
  </si>
  <si>
    <t xml:space="preserve">VM's migreren tussen nodes (live migration)</t>
  </si>
  <si>
    <t xml:space="preserve">Proxmox cluster</t>
  </si>
  <si>
    <t xml:space="preserve">Proxmox Migrate</t>
  </si>
  <si>
    <t xml:space="preserve">VM → Migrate → selecteer doelnode</t>
  </si>
  <si>
    <t xml:space="preserve">Test: draaiende VM verplaatsen zonder downtime</t>
  </si>
  <si>
    <t xml:space="preserve">🌐  NETWERK – VyOS ROUTERS</t>
  </si>
  <si>
    <t xml:space="preserve">VyOS router(s) geïnstalleerd</t>
  </si>
  <si>
    <t xml:space="preserve">Netwerk</t>
  </si>
  <si>
    <t xml:space="preserve">WAN-routers (alle locaties)</t>
  </si>
  <si>
    <t xml:space="preserve">VyOS rolling/stable</t>
  </si>
  <si>
    <t xml:space="preserve">/etc/vyos/config.boot</t>
  </si>
  <si>
    <t xml:space="preserve">VyOS vervangt of aan Rocky Linux-routers toegevoegd</t>
  </si>
  <si>
    <t xml:space="preserve">OSPF of RIP dynamische routering actief</t>
  </si>
  <si>
    <t xml:space="preserve">Alle VyOS/FRR WAN-routers</t>
  </si>
  <si>
    <t xml:space="preserve">VyOS / FRR</t>
  </si>
  <si>
    <t xml:space="preserve">set protocols ospf / set protocols rip</t>
  </si>
  <si>
    <t xml:space="preserve">show ip ospf neighbor → Full; alle locaties bereikbaar</t>
  </si>
  <si>
    <t xml:space="preserve">Multi-WAN redundantie (min. 2 WAN-links voor ≥1 locatie)</t>
  </si>
  <si>
    <t xml:space="preserve">Den Helder router</t>
  </si>
  <si>
    <t xml:space="preserve">VyOS</t>
  </si>
  <si>
    <t xml:space="preserve">set interfaces / floating static routes</t>
  </si>
  <si>
    <t xml:space="preserve">1 WAN-link uitzetten → automatisch failover</t>
  </si>
  <si>
    <t xml:space="preserve">IPv6 volledig ingericht (alle onderdelen)</t>
  </si>
  <si>
    <t xml:space="preserve">Alle routers, servers, werkstations</t>
  </si>
  <si>
    <t xml:space="preserve">VyOS + Rocky Linux + Windows</t>
  </si>
  <si>
    <t xml:space="preserve">nmcli / set interfaces ethernet eth0 ipv6</t>
  </si>
  <si>
    <t xml:space="preserve">fd00::/48 ULA-adressen; OSPFv3 of RIPng</t>
  </si>
  <si>
    <t xml:space="preserve">ACLs / Firewall-regels actief (poort+protocol)</t>
  </si>
  <si>
    <t xml:space="preserve">Alle locatierouters</t>
  </si>
  <si>
    <t xml:space="preserve">VyOS firewall / firewalld</t>
  </si>
  <si>
    <t xml:space="preserve">set firewall name WAN-IN rule … / firewall-cmd</t>
  </si>
  <si>
    <t xml:space="preserve">Gerichte beveiliging meerdere datastromen; overeenkomst met ontwerp</t>
  </si>
  <si>
    <t xml:space="preserve">NAT / PAT (masquerade) actief voor internet</t>
  </si>
  <si>
    <t xml:space="preserve">Internet-router Den Helder</t>
  </si>
  <si>
    <t xml:space="preserve">VyOS / firewalld</t>
  </si>
  <si>
    <t xml:space="preserve">set nat source rule … masquerade</t>
  </si>
  <si>
    <t xml:space="preserve">Ping 8.8.8.8 vanuit alle locaties succesvol</t>
  </si>
  <si>
    <t xml:space="preserve">🔐  SSH</t>
  </si>
  <si>
    <t xml:space="preserve">SSH toegang alle routers en Linux VM's</t>
  </si>
  <si>
    <t xml:space="preserve">Security</t>
  </si>
  <si>
    <t xml:space="preserve">Alle Linux VMs + VyOS routers</t>
  </si>
  <si>
    <t xml:space="preserve">OpenSSH</t>
  </si>
  <si>
    <t xml:space="preserve">/etc/ssh/sshd_config</t>
  </si>
  <si>
    <t xml:space="preserve">Wachtwoord + gebruikersnaam (basiseisen casus)</t>
  </si>
  <si>
    <t xml:space="preserve">🌍  DNS</t>
  </si>
  <si>
    <t xml:space="preserve">DNS-server geïnstalleerd (primair)</t>
  </si>
  <si>
    <t xml:space="preserve">Diensten</t>
  </si>
  <si>
    <t xml:space="preserve">10.3.0.51</t>
  </si>
  <si>
    <t xml:space="preserve">BIND9 (Rocky: dnf install bind)</t>
  </si>
  <si>
    <t xml:space="preserve">/etc/named.conf + /var/named/</t>
  </si>
  <si>
    <t xml:space="preserve">Forward zone eilandwol.groep2.vs2g</t>
  </si>
  <si>
    <t xml:space="preserve">BIND9</t>
  </si>
  <si>
    <t xml:space="preserve">/var/named/eilandwol.groep2.vs2g.db</t>
  </si>
  <si>
    <t xml:space="preserve">Alle hosts incl. routers en werkstations</t>
  </si>
  <si>
    <t xml:space="preserve">Reverse zone IPv4 (PTR-records)</t>
  </si>
  <si>
    <t xml:space="preserve">/var/named/10.3.0.db</t>
  </si>
  <si>
    <t xml:space="preserve">0.3.10.in-addr.arpa zone</t>
  </si>
  <si>
    <t xml:space="preserve">IPv6 DNS (AAAA + reverse)</t>
  </si>
  <si>
    <t xml:space="preserve">/var/named/fd00.3.ip6.db</t>
  </si>
  <si>
    <t xml:space="preserve">Alle servers AAAA-records; ip6.arpa reverse zone</t>
  </si>
  <si>
    <t xml:space="preserve">🏢  ACTIVE DIRECTORY &amp; WINDOWS</t>
  </si>
  <si>
    <t xml:space="preserve">Domain Controller 1 (GUI) geïnstalleerd</t>
  </si>
  <si>
    <t xml:space="preserve">Windows</t>
  </si>
  <si>
    <t xml:space="preserve">10.3.0.52</t>
  </si>
  <si>
    <t xml:space="preserve">Windows Server 2022</t>
  </si>
  <si>
    <t xml:space="preserve">Server Manager → AD DS</t>
  </si>
  <si>
    <t xml:space="preserve">Forest eilandwol.groep2.vs2g; DNS geïntegreerd</t>
  </si>
  <si>
    <t xml:space="preserve">Domain Controller 2 (Server Core) geïnstalleerd</t>
  </si>
  <si>
    <t xml:space="preserve">10.3.0.53</t>
  </si>
  <si>
    <t xml:space="preserve">Windows Server Core 2022</t>
  </si>
  <si>
    <t xml:space="preserve">sconfig + PowerShell</t>
  </si>
  <si>
    <t xml:space="preserve">Replica DC; geen GUI; Install-ADDSDomainController</t>
  </si>
  <si>
    <t xml:space="preserve">Users met homefolders en profielen</t>
  </si>
  <si>
    <t xml:space="preserve">DC1 + Fileserver</t>
  </si>
  <si>
    <t xml:space="preserve">AD + GPO + SMB</t>
  </si>
  <si>
    <t xml:space="preserve">ADUC → Profile tab / Folder Redirection GPO</t>
  </si>
  <si>
    <t xml:space="preserve">Homefolder op \\fileserver\homes\%username%</t>
  </si>
  <si>
    <t xml:space="preserve">Windows 10/11 werkstation in het domein</t>
  </si>
  <si>
    <t xml:space="preserve">10.2.0.100 (Texel) + 10.3.1.100 (Ameland)</t>
  </si>
  <si>
    <t xml:space="preserve">Windows 10/11</t>
  </si>
  <si>
    <t xml:space="preserve">Systeemeigenschappen → Domein toevoegen</t>
  </si>
  <si>
    <t xml:space="preserve">Beide kantoorlocaties min. 1 werkstation</t>
  </si>
  <si>
    <t xml:space="preserve">Groepsbeleid (GPO) geconfigureerd</t>
  </si>
  <si>
    <t xml:space="preserve">DC1</t>
  </si>
  <si>
    <t xml:space="preserve">GPMC</t>
  </si>
  <si>
    <t xml:space="preserve">Group Policy Management Console</t>
  </si>
  <si>
    <t xml:space="preserve">Wachtwoordbeleid, bureaubladachtergrond, startpagina</t>
  </si>
  <si>
    <t xml:space="preserve">Wachtwoordbeleid ingesteld (casus-eisen)</t>
  </si>
  <si>
    <t xml:space="preserve">DC1 (Default Domain Policy)</t>
  </si>
  <si>
    <t xml:space="preserve">GPO</t>
  </si>
  <si>
    <t xml:space="preserve">Default Domain Policy → Password Policy</t>
  </si>
  <si>
    <t xml:space="preserve">Min 10 tekens, 30 dagen, history 3, complexiteit aan</t>
  </si>
  <si>
    <t xml:space="preserve">📡  DHCP</t>
  </si>
  <si>
    <t xml:space="preserve">Centrale DHCP-server (1 server voor beide locaties)</t>
  </si>
  <si>
    <t xml:space="preserve">10.3.0.52 (DC1 of aparte server)</t>
  </si>
  <si>
    <t xml:space="preserve">Windows DHCP of Linux</t>
  </si>
  <si>
    <t xml:space="preserve">Server Manager → DHCP / dhcpd.conf</t>
  </si>
  <si>
    <t xml:space="preserve">Scope Texel + Scope Ameland</t>
  </si>
  <si>
    <t xml:space="preserve">DHCP Relay op Texel-router</t>
  </si>
  <si>
    <t xml:space="preserve">10.2.0.1 (Texel-router)</t>
  </si>
  <si>
    <t xml:space="preserve">VyOS: set service dhcp-relay / Rocky: dhcrelay</t>
  </si>
  <si>
    <t xml:space="preserve">VyOS config.boot of dhcrelay.service</t>
  </si>
  <si>
    <t xml:space="preserve">Relay naar DHCP-server 10.3.0.52</t>
  </si>
  <si>
    <t xml:space="preserve">DHCP Relay op Ameland-router</t>
  </si>
  <si>
    <t xml:space="preserve">10.3.1.1 (Ameland-router)</t>
  </si>
  <si>
    <t xml:space="preserve">VyOS / Rocky Linux</t>
  </si>
  <si>
    <t xml:space="preserve">🌐  WEBSERVER &amp; CMS</t>
  </si>
  <si>
    <t xml:space="preserve">Webserver geïnstalleerd (Apache/Nginx)</t>
  </si>
  <si>
    <t xml:space="preserve">10.3.0.54</t>
  </si>
  <si>
    <t xml:space="preserve">Rocky Linux 9 (httpd)</t>
  </si>
  <si>
    <t xml:space="preserve">/etc/httpd/conf.d/intranet.conf</t>
  </si>
  <si>
    <t xml:space="preserve">dnf install -y httpd; systemctl enable --now httpd</t>
  </si>
  <si>
    <t xml:space="preserve">CMS geïnstalleerd en ingericht (WordPress/Drupal/Joomla)</t>
  </si>
  <si>
    <t xml:space="preserve">http://intranet.eilandwol.groep2.vs2g</t>
  </si>
  <si>
    <t xml:space="preserve">WordPress + MariaDB + PHP</t>
  </si>
  <si>
    <t xml:space="preserve">/var/www/html/intranet/wp-config.php</t>
  </si>
  <si>
    <t xml:space="preserve">Hoofdpagina ingericht; bereikbaar via DNS-naam</t>
  </si>
  <si>
    <t xml:space="preserve">📁  FILESHARING (SMB)</t>
  </si>
  <si>
    <t xml:space="preserve">SMB fileserver ingericht</t>
  </si>
  <si>
    <t xml:space="preserve">10.3.0.56</t>
  </si>
  <si>
    <t xml:space="preserve">Rocky Linux 9 – Samba of Windows Server</t>
  </si>
  <si>
    <t xml:space="preserve">/etc/samba/smb.conf</t>
  </si>
  <si>
    <t xml:space="preserve">Data op logical volumes (LVM) of Storage Spaces</t>
  </si>
  <si>
    <t xml:space="preserve">SMB share bereikbaar vanuit beide kantoorlocaties</t>
  </si>
  <si>
    <t xml:space="preserve">Texel + Ameland werkstations</t>
  </si>
  <si>
    <t xml:space="preserve">SMB / CIFS</t>
  </si>
  <si>
    <t xml:space="preserve">\\fileserver.eilandwol.groep2.vs2g\algemeen</t>
  </si>
  <si>
    <t xml:space="preserve">AD-groepen gebruiken voor toegangsbeheer</t>
  </si>
  <si>
    <t xml:space="preserve">📧  E-MAIL</t>
  </si>
  <si>
    <t xml:space="preserve">MTA Den Helder geïnstalleerd (Postfix)</t>
  </si>
  <si>
    <t xml:space="preserve">10.3.0.55</t>
  </si>
  <si>
    <t xml:space="preserve">Rocky Linux 9 – Postfix</t>
  </si>
  <si>
    <t xml:space="preserve">/etc/postfix/main.cf</t>
  </si>
  <si>
    <t xml:space="preserve">SMTP poort 25; als ACL blokkeert → mail valt weg</t>
  </si>
  <si>
    <t xml:space="preserve">MTA Texel geïnstalleerd (Postfix)</t>
  </si>
  <si>
    <t xml:space="preserve">10.2.0.11</t>
  </si>
  <si>
    <t xml:space="preserve">Transport map naar DH MTA</t>
  </si>
  <si>
    <t xml:space="preserve">Mail tussen de twee MTA's werkend</t>
  </si>
  <si>
    <t xml:space="preserve">DH ↔ Texel</t>
  </si>
  <si>
    <t xml:space="preserve">Postfix</t>
  </si>
  <si>
    <t xml:space="preserve">/etc/postfix/transport</t>
  </si>
  <si>
    <t xml:space="preserve">Test: echo test | mail -s Test user@eilandwol.groep2.vs2g</t>
  </si>
  <si>
    <t xml:space="preserve">🔒  VPN</t>
  </si>
  <si>
    <t xml:space="preserve">VPN-oplossing geïmplementeerd (OpenVPN / SSTP-PSK / WireGuard)</t>
  </si>
  <si>
    <t xml:space="preserve">10.3.0.52 of aparte VPN-server</t>
  </si>
  <si>
    <t xml:space="preserve">OpenVPN of WireGuard of SSTP</t>
  </si>
  <si>
    <t xml:space="preserve">/etc/openvpn/ of /etc/wireguard/</t>
  </si>
  <si>
    <t xml:space="preserve">Geen PPTP (onveilig); client kan inloggen en intern netwerk bereiken</t>
  </si>
  <si>
    <t xml:space="preserve">VPN client-config gedistribueerd en getest</t>
  </si>
  <si>
    <t xml:space="preserve">Extern werkstation</t>
  </si>
  <si>
    <t xml:space="preserve">OpenVPN GUI / WG client</t>
  </si>
  <si>
    <t xml:space="preserve">.ovpn of .conf bestand</t>
  </si>
  <si>
    <t xml:space="preserve">Verbinding succesvol; intern netwerk bereikbaar via VPN</t>
  </si>
  <si>
    <t xml:space="preserve">VOORTGANG VERPLICHTE ONDERDELEN:</t>
  </si>
  <si>
    <t xml:space="preserve">EilandWol – Optionele Onderdelen (Persoonlijk)  |  Min. 8 punten per student voor 'Boven Niveau'</t>
  </si>
  <si>
    <t xml:space="preserve">Studenten moeten VERSCHILLENDE optionele onderdelen maken. Uitleg + configuraties + screenshots vereist.</t>
  </si>
  <si>
    <t xml:space="preserve">⚠  Elk onderdeel mag maar door 1 student worden ingediend om mee te tellen voor boven niveau.</t>
  </si>
  <si>
    <t xml:space="preserve">Onderwerp</t>
  </si>
  <si>
    <t xml:space="preserve">Max
Punten</t>
  </si>
  <si>
    <t xml:space="preserve">Student
(naam)</t>
  </si>
  <si>
    <t xml:space="preserve">Bewijs / Screenshot</t>
  </si>
  <si>
    <t xml:space="preserve">Configuratielocatie</t>
  </si>
  <si>
    <t xml:space="preserve">Notities</t>
  </si>
  <si>
    <t xml:space="preserve">🏗  INFRA</t>
  </si>
  <si>
    <t xml:space="preserve">Ansible</t>
  </si>
  <si>
    <t xml:space="preserve">Automatiseer configuratie van servers met Ansible playbooks</t>
  </si>
  <si>
    <t xml:space="preserve">Playbooks voor bijv. DNS, webserver of AD-join</t>
  </si>
  <si>
    <t xml:space="preserve">FRR Routing</t>
  </si>
  <si>
    <t xml:space="preserve">FRRouting geavanceerde routering (naast VyOS basis-OSPF)</t>
  </si>
  <si>
    <t xml:space="preserve">dnf install frr; ospf/bgp configuratie via vtysh</t>
  </si>
  <si>
    <t xml:space="preserve">IDM</t>
  </si>
  <si>
    <t xml:space="preserve">Identity Management (FreeIPA of vergelijkbaar)</t>
  </si>
  <si>
    <t xml:space="preserve">FreeIPA als alternatief/aanvulling op AD</t>
  </si>
  <si>
    <t xml:space="preserve">Let's Encrypt</t>
  </si>
  <si>
    <t xml:space="preserve">Geldig SSL-certificaat via Let's Encrypt (Certbot)</t>
  </si>
  <si>
    <t xml:space="preserve">dnf install certbot; HTTPS voor webserver/VPN</t>
  </si>
  <si>
    <t xml:space="preserve">LXC/Docker</t>
  </si>
  <si>
    <t xml:space="preserve">LXC containers of Docker containers in gebruik</t>
  </si>
  <si>
    <t xml:space="preserve">Proxmox LXC of Docker op Rocky Linux</t>
  </si>
  <si>
    <t xml:space="preserve">Monitoring</t>
  </si>
  <si>
    <t xml:space="preserve">Monitoring via Grafana, Prometheus of SNMP</t>
  </si>
  <si>
    <t xml:space="preserve">Node Exporter + Prometheus + Grafana dashboard</t>
  </si>
  <si>
    <t xml:space="preserve">OSPF Multi/BGP</t>
  </si>
  <si>
    <t xml:space="preserve">Multi-area OSPF of BGP routing</t>
  </si>
  <si>
    <t xml:space="preserve">FRR multi-area OSPF of eBGP tussen routers</t>
  </si>
  <si>
    <t xml:space="preserve">Proxy</t>
  </si>
  <si>
    <t xml:space="preserve">Proxy- of reverse-proxyserver (Nginx/HAProxy/Squid)</t>
  </si>
  <si>
    <t xml:space="preserve">Reverse proxy voor intranet of forward proxy voor clients</t>
  </si>
  <si>
    <t xml:space="preserve">Extra beveiligingsmaatregel (IDS, fail2ban, auditing)</t>
  </si>
  <si>
    <t xml:space="preserve">fail2ban, auditd, of andere aantoonbare beveiliging</t>
  </si>
  <si>
    <t xml:space="preserve">VRRP</t>
  </si>
  <si>
    <t xml:space="preserve">VRRP voor routerredundantie binnen LAN</t>
  </si>
  <si>
    <t xml:space="preserve">keepalived of VyOS VRRP; virtueel gateway-IP</t>
  </si>
  <si>
    <t xml:space="preserve">🐧  LINUX</t>
  </si>
  <si>
    <t xml:space="preserve">2e Mailserver</t>
  </si>
  <si>
    <t xml:space="preserve">Tweede mailserver (failover/relay) op Linux</t>
  </si>
  <si>
    <t xml:space="preserve">Linux</t>
  </si>
  <si>
    <t xml:space="preserve">Tweede Postfix MTA; relay of failover configuratie</t>
  </si>
  <si>
    <t xml:space="preserve">Crontab</t>
  </si>
  <si>
    <t xml:space="preserve">Automatische taken via crontab (zinvolle automatisering)</t>
  </si>
  <si>
    <t xml:space="preserve">crontab -e; bijv. backup, log-rotatie, update</t>
  </si>
  <si>
    <t xml:space="preserve">DHCP op Linux</t>
  </si>
  <si>
    <t xml:space="preserve">DHCP-server op Linux (ISC DHCP of Kea)</t>
  </si>
  <si>
    <t xml:space="preserve">dnf install dhcp-server; dhcpd.conf voor scopes</t>
  </si>
  <si>
    <t xml:space="preserve">DNS op Linux</t>
  </si>
  <si>
    <t xml:space="preserve">DNS-server volledig op Linux (BIND op Rocky)</t>
  </si>
  <si>
    <t xml:space="preserve">Reeds vereist in teamdeel – uitbreiden voor extra punten</t>
  </si>
  <si>
    <t xml:space="preserve">DNSSec Linux</t>
  </si>
  <si>
    <t xml:space="preserve">DNSSEC implementeren voor Linux DNS-zones</t>
  </si>
  <si>
    <t xml:space="preserve">dnssec-keygen; zone signing; validatie met dig +dnssec</t>
  </si>
  <si>
    <t xml:space="preserve">NFS op Linux</t>
  </si>
  <si>
    <t xml:space="preserve">NFS-share opzetten op Linux</t>
  </si>
  <si>
    <t xml:space="preserve">dnf install nfs-utils; /etc/exports; mount op clients</t>
  </si>
  <si>
    <t xml:space="preserve">SMB op Linux</t>
  </si>
  <si>
    <t xml:space="preserve">SMB-share volledig op Linux (Samba standalone of AD-lid)</t>
  </si>
  <si>
    <t xml:space="preserve">Samba zonder Windows Server; lokale gebruikers of AD</t>
  </si>
  <si>
    <t xml:space="preserve">SSH public key</t>
  </si>
  <si>
    <t xml:space="preserve">SSH public key authenticatie op alle Linux-servers</t>
  </si>
  <si>
    <t xml:space="preserve">ssh-keygen ed25519; authorized_keys; wachtwoord uit</t>
  </si>
  <si>
    <t xml:space="preserve">Subdomein Linux</t>
  </si>
  <si>
    <t xml:space="preserve">Subdomein in Linux DNS (bijv. dev.eilandwol.groep2.vs2g)</t>
  </si>
  <si>
    <t xml:space="preserve">Extra zone-definitie in named.conf</t>
  </si>
  <si>
    <t xml:space="preserve">🪟  WINDOWS</t>
  </si>
  <si>
    <t xml:space="preserve">DAC</t>
  </si>
  <si>
    <t xml:space="preserve">Dynamic Access Control voor beveiliging gevoelige data</t>
  </si>
  <si>
    <t xml:space="preserve">Claim-based access; Central Access Policy in AD</t>
  </si>
  <si>
    <t xml:space="preserve">DNSSec Windows</t>
  </si>
  <si>
    <t xml:space="preserve">DNSSEC voor Windows DNS-zones</t>
  </si>
  <si>
    <t xml:space="preserve">DNS Manager → Zone Properties → DNSSEC → Sign Zone</t>
  </si>
  <si>
    <t xml:space="preserve">Eigen CA</t>
  </si>
  <si>
    <t xml:space="preserve">Eigen Certificate Authority (AD CS) opzetten</t>
  </si>
  <si>
    <t xml:space="preserve">Server Manager → AD CS rol; eigen root CA certificaat</t>
  </si>
  <si>
    <t xml:space="preserve">RDP</t>
  </si>
  <si>
    <t xml:space="preserve">Remote Desktop Protocol geconfigureerd en beveiligd</t>
  </si>
  <si>
    <t xml:space="preserve">RDP ingeschakeld; NLA vereist; firewall-regel</t>
  </si>
  <si>
    <t xml:space="preserve">Subdomein Win</t>
  </si>
  <si>
    <t xml:space="preserve">Subdomein in Windows DNS/AD (child domain of sub-zone)</t>
  </si>
  <si>
    <t xml:space="preserve">DNS Manager → New Zone (bijv. dev.eilandwol.groep2.vs2g)</t>
  </si>
  <si>
    <t xml:space="preserve">🔧  WINDOWS / LINUX</t>
  </si>
  <si>
    <t xml:space="preserve">Load-balancer</t>
  </si>
  <si>
    <t xml:space="preserve">Load balancer voor webserver of andere dienst</t>
  </si>
  <si>
    <t xml:space="preserve">Win/Lin</t>
  </si>
  <si>
    <t xml:space="preserve">HAProxy, Nginx upstream, of Windows NLB</t>
  </si>
  <si>
    <t xml:space="preserve">RAID / LVM</t>
  </si>
  <si>
    <t xml:space="preserve">RAID-configuratie of LVM voor opslagredundantie</t>
  </si>
  <si>
    <t xml:space="preserve">mdadm RAID1 of LVM mirror; Storage Spaces (Windows)</t>
  </si>
  <si>
    <t xml:space="preserve">Redundante DHCP</t>
  </si>
  <si>
    <t xml:space="preserve">Tweede DHCP-server als failover voor de primaire</t>
  </si>
  <si>
    <t xml:space="preserve">DHCP failover (Windows) of Kea HA (Linux)</t>
  </si>
  <si>
    <t xml:space="preserve">Script</t>
  </si>
  <si>
    <t xml:space="preserve">Nuttig automatiseringsscript (Bash of PowerShell)</t>
  </si>
  <si>
    <t xml:space="preserve">Bijv. backup-script, user-aanmaak, monitoring-check</t>
  </si>
  <si>
    <t xml:space="preserve">VPN Site to Site</t>
  </si>
  <si>
    <t xml:space="preserve">Site-to-site VPN tussen locatierouters</t>
  </si>
  <si>
    <t xml:space="preserve">strongSwan IPsec of WireGuard tussen Texel en DH</t>
  </si>
  <si>
    <t xml:space="preserve">Puntentelling legenda:  🟡 Goud = 3 punten (zwaar)  |  🔵 Blauw = 2 punten (middel)  |  ⚫ Grijs = 1 punt (licht)  |  Minimaal 8 punten per student vereist voor 'Boven Niveau'</t>
  </si>
  <si>
    <t xml:space="preserve">EilandWol – Scorekaart Optionele Onderdelen per Student  |  VS2G Groep 2</t>
  </si>
  <si>
    <t xml:space="preserve">Minimaal 8 punten per student voor 'Boven Niveau'. Studenten mogen NIET hetzelfde optionele onderdeel indienen.</t>
  </si>
  <si>
    <t xml:space="preserve">Student</t>
  </si>
  <si>
    <t xml:space="preserve">Gekozen optionele onderdelen (komma-gescheiden)</t>
  </si>
  <si>
    <t xml:space="preserve">Punten</t>
  </si>
  <si>
    <t xml:space="preserve">Status bewijs</t>
  </si>
  <si>
    <t xml:space="preserve">Opmerkingen docent</t>
  </si>
  <si>
    <t xml:space="preserve">Voldoet (≥8)?</t>
  </si>
  <si>
    <t xml:space="preserve">Student 1</t>
  </si>
  <si>
    <t xml:space="preserve">Student 2</t>
  </si>
  <si>
    <t xml:space="preserve">Student 3</t>
  </si>
  <si>
    <t xml:space="preserve">Student 4</t>
  </si>
  <si>
    <t xml:space="preserve">Student 5</t>
  </si>
  <si>
    <t xml:space="preserve">Student 6</t>
  </si>
  <si>
    <t xml:space="preserve">📌  Vul bij elke student de gekozen optionele onderdelen in (bijv. 'SSH public key (1pt), DHCP op Linux (1pt), DNSSec Linux (3pt), Script (1pt), RAID/LVM (1pt), NFS op Linux (1pt)') en pas de punten in kolom D aan.</t>
  </si>
  <si>
    <t xml:space="preserve">OVERZICHT BESCHIKBARE PUNTEN PER CATEGORIE</t>
  </si>
  <si>
    <t xml:space="preserve">Aantal beschikbare onderdelen</t>
  </si>
  <si>
    <t xml:space="preserve">Totaal beschikbare punten</t>
  </si>
  <si>
    <t xml:space="preserve">1-pt onderdelen</t>
  </si>
  <si>
    <t xml:space="preserve">2-pt onderdelen</t>
  </si>
  <si>
    <t xml:space="preserve">3-pt onderdelen</t>
  </si>
  <si>
    <t xml:space="preserve">Tip</t>
  </si>
  <si>
    <t xml:space="preserve">Zwaarste categorie – goede keuze voor hoge score</t>
  </si>
  <si>
    <t xml:space="preserve">Veel 1-pt opties – snelle punten maar lage totaalscore</t>
  </si>
  <si>
    <t xml:space="preserve">Beperkte opties – combineer met andere categorieën</t>
  </si>
  <si>
    <t xml:space="preserve">Allemaal 1-pt – goed als aanvulling</t>
  </si>
  <si>
    <t xml:space="preserve">Totaal</t>
  </si>
  <si>
    <t xml:space="preserve">Max haalbaar: 47 punten (maar max 1 per onderdeel per student)</t>
  </si>
  <si>
    <t xml:space="preserve">EilandWol – IP-Adresplan  |  VS2G Groep 2  |  eilandwol.groep2.vs2g</t>
  </si>
  <si>
    <t xml:space="preserve">Hostnaam / VM</t>
  </si>
  <si>
    <t xml:space="preserve">Rol</t>
  </si>
  <si>
    <t xml:space="preserve">IPv4-adres</t>
  </si>
  <si>
    <t xml:space="preserve">Subnetmasker</t>
  </si>
  <si>
    <t xml:space="preserve">IPv6-adres</t>
  </si>
  <si>
    <t xml:space="preserve">OS / Platform</t>
  </si>
  <si>
    <t xml:space="preserve">VMID</t>
  </si>
  <si>
    <t xml:space="preserve">── PROXMOX HOSTS ──</t>
  </si>
  <si>
    <t xml:space="preserve">pve-node51</t>
  </si>
  <si>
    <t xml:space="preserve">Proxmox hypervisor 1</t>
  </si>
  <si>
    <t xml:space="preserve">255.255.252.0</t>
  </si>
  <si>
    <t xml:space="preserve">fd00:3::51</t>
  </si>
  <si>
    <t xml:space="preserve">Proxmox VE 8</t>
  </si>
  <si>
    <t xml:space="preserve">51</t>
  </si>
  <si>
    <t xml:space="preserve">Server-net + VLAN-aware bridge</t>
  </si>
  <si>
    <t xml:space="preserve">pve-node51-app</t>
  </si>
  <si>
    <t xml:space="preserve">Proxmox node 51 app-laag</t>
  </si>
  <si>
    <t xml:space="preserve">10.2.0.51</t>
  </si>
  <si>
    <t xml:space="preserve">255.255.255.0</t>
  </si>
  <si>
    <t xml:space="preserve">fd00:2::51</t>
  </si>
  <si>
    <t xml:space="preserve">App-net interface</t>
  </si>
  <si>
    <t xml:space="preserve">pve-node51-stor</t>
  </si>
  <si>
    <t xml:space="preserve">Proxmox node 51 storage</t>
  </si>
  <si>
    <t xml:space="preserve">10.1.0.51</t>
  </si>
  <si>
    <t xml:space="preserve">—</t>
  </si>
  <si>
    <t xml:space="preserve">Storage-net (TrueNAS verkeer)</t>
  </si>
  <si>
    <t xml:space="preserve">pve-node52</t>
  </si>
  <si>
    <t xml:space="preserve">Proxmox hypervisor 2</t>
  </si>
  <si>
    <t xml:space="preserve">fd00:3::52</t>
  </si>
  <si>
    <t xml:space="preserve">52</t>
  </si>
  <si>
    <t xml:space="preserve">pve-node52-app</t>
  </si>
  <si>
    <t xml:space="preserve">Proxmox node 52 app-laag</t>
  </si>
  <si>
    <t xml:space="preserve">10.2.0.52</t>
  </si>
  <si>
    <t xml:space="preserve">fd00:2::52</t>
  </si>
  <si>
    <t xml:space="preserve">pve-node52-stor</t>
  </si>
  <si>
    <t xml:space="preserve">Proxmox node 52 storage</t>
  </si>
  <si>
    <t xml:space="preserve">10.1.0.52</t>
  </si>
  <si>
    <t xml:space="preserve">Storage-net</t>
  </si>
  <si>
    <t xml:space="preserve">truenas</t>
  </si>
  <si>
    <t xml:space="preserve">TrueNAS SCALE (shared storage)</t>
  </si>
  <si>
    <t xml:space="preserve">10.1.0.20</t>
  </si>
  <si>
    <t xml:space="preserve">NFS/iSCSI naar beide Proxmox nodes</t>
  </si>
  <si>
    <t xml:space="preserve">ipmi</t>
  </si>
  <si>
    <t xml:space="preserve">IPMI / BMC beheer</t>
  </si>
  <si>
    <t xml:space="preserve">10.1.0.1</t>
  </si>
  <si>
    <t xml:space="preserve">Out-of-band beheer</t>
  </si>
  <si>
    <t xml:space="preserve">── ROUTERS ──</t>
  </si>
  <si>
    <t xml:space="preserve">router-wan1</t>
  </si>
  <si>
    <t xml:space="preserve">VyOS WAN-router 1 (Den Helder)</t>
  </si>
  <si>
    <t xml:space="preserve">10.3.0.1</t>
  </si>
  <si>
    <t xml:space="preserve">fd00:3::1</t>
  </si>
  <si>
    <t xml:space="preserve">101</t>
  </si>
  <si>
    <t xml:space="preserve">OSPF router-id 1.1.1.1; NAT; ACL</t>
  </si>
  <si>
    <t xml:space="preserve">router-wan2</t>
  </si>
  <si>
    <t xml:space="preserve">VyOS WAN-router 2 (Texel)</t>
  </si>
  <si>
    <t xml:space="preserve">10.2.0.1</t>
  </si>
  <si>
    <t xml:space="preserve">fd00:2::1</t>
  </si>
  <si>
    <t xml:space="preserve">102</t>
  </si>
  <si>
    <t xml:space="preserve">OSPF router-id 2.2.2.2; DHCP relay</t>
  </si>
  <si>
    <t xml:space="preserve">router-wan3</t>
  </si>
  <si>
    <t xml:space="preserve">VyOS WAN-router 3 (Ameland)</t>
  </si>
  <si>
    <t xml:space="preserve">10.3.1.1</t>
  </si>
  <si>
    <t xml:space="preserve">fd00:31::1</t>
  </si>
  <si>
    <t xml:space="preserve">103</t>
  </si>
  <si>
    <t xml:space="preserve">OSPF router-id 3.3.3.3; DHCP relay</t>
  </si>
  <si>
    <t xml:space="preserve">── SERVERS DEN HELDER ──</t>
  </si>
  <si>
    <t xml:space="preserve">ns1</t>
  </si>
  <si>
    <t xml:space="preserve">DNS-server primair</t>
  </si>
  <si>
    <t xml:space="preserve">Rocky Linux 9</t>
  </si>
  <si>
    <t xml:space="preserve">111</t>
  </si>
  <si>
    <t xml:space="preserve">BIND9 forward+reverse IPv4+IPv6</t>
  </si>
  <si>
    <t xml:space="preserve">dc1</t>
  </si>
  <si>
    <t xml:space="preserve">Domain Controller 1 (GUI)</t>
  </si>
  <si>
    <t xml:space="preserve">Win Server 2022</t>
  </si>
  <si>
    <t xml:space="preserve">112</t>
  </si>
  <si>
    <t xml:space="preserve">AD DS, DNS, DHCP, GPMC</t>
  </si>
  <si>
    <t xml:space="preserve">dc2</t>
  </si>
  <si>
    <t xml:space="preserve">Domain Controller 2 (Core)</t>
  </si>
  <si>
    <t xml:space="preserve">fd00:3::53</t>
  </si>
  <si>
    <t xml:space="preserve">Win Server Core</t>
  </si>
  <si>
    <t xml:space="preserve">113</t>
  </si>
  <si>
    <t xml:space="preserve">AD DS replica, geen GUI</t>
  </si>
  <si>
    <t xml:space="preserve">webserver</t>
  </si>
  <si>
    <t xml:space="preserve">Intranet webserver (WordPress)</t>
  </si>
  <si>
    <t xml:space="preserve">fd00:3::54</t>
  </si>
  <si>
    <t xml:space="preserve">114</t>
  </si>
  <si>
    <t xml:space="preserve">httpd + PHP + MariaDB</t>
  </si>
  <si>
    <t xml:space="preserve">mail-dh</t>
  </si>
  <si>
    <t xml:space="preserve">MTA Den Helder (Postfix)</t>
  </si>
  <si>
    <t xml:space="preserve">fd00:3::55</t>
  </si>
  <si>
    <t xml:space="preserve">115</t>
  </si>
  <si>
    <t xml:space="preserve">SMTP poort 25; MX record</t>
  </si>
  <si>
    <t xml:space="preserve">fileserver</t>
  </si>
  <si>
    <t xml:space="preserve">Fileserver (Samba/SMB)</t>
  </si>
  <si>
    <t xml:space="preserve">fd00:3::56</t>
  </si>
  <si>
    <t xml:space="preserve">116</t>
  </si>
  <si>
    <t xml:space="preserve">LVM op /dev/sdb; AD-lid via realmd</t>
  </si>
  <si>
    <t xml:space="preserve">── SERVERS TEXEL ──</t>
  </si>
  <si>
    <t xml:space="preserve">server-texel</t>
  </si>
  <si>
    <t xml:space="preserve">Server Texel (algemeen)</t>
  </si>
  <si>
    <t xml:space="preserve">10.2.0.10</t>
  </si>
  <si>
    <t xml:space="preserve">fd00:2::10</t>
  </si>
  <si>
    <t xml:space="preserve">120</t>
  </si>
  <si>
    <t xml:space="preserve">VPN-endpoint of extra dienst</t>
  </si>
  <si>
    <t xml:space="preserve">mail-texel</t>
  </si>
  <si>
    <t xml:space="preserve">MTA Texel (Postfix)</t>
  </si>
  <si>
    <t xml:space="preserve">fd00:2::11</t>
  </si>
  <si>
    <t xml:space="preserve">121</t>
  </si>
  <si>
    <t xml:space="preserve">Relay naar mail-dh</t>
  </si>
  <si>
    <t xml:space="preserve">── WERKSTATIONS ──</t>
  </si>
  <si>
    <t xml:space="preserve">ws-texel01</t>
  </si>
  <si>
    <t xml:space="preserve">Werkstation Texel 01</t>
  </si>
  <si>
    <t xml:space="preserve">10.2.0.100</t>
  </si>
  <si>
    <t xml:space="preserve">fd00:2::100</t>
  </si>
  <si>
    <t xml:space="preserve">200</t>
  </si>
  <si>
    <t xml:space="preserve">DHCP scope Texel; domein-lid</t>
  </si>
  <si>
    <t xml:space="preserve">ws-ameland01</t>
  </si>
  <si>
    <t xml:space="preserve">Werkstation Ameland 01</t>
  </si>
  <si>
    <t xml:space="preserve">10.3.1.100</t>
  </si>
  <si>
    <t xml:space="preserve">fd00:31::100</t>
  </si>
  <si>
    <t xml:space="preserve">201</t>
  </si>
  <si>
    <t xml:space="preserve">DHCP via relay; domein-lid</t>
  </si>
  <si>
    <t xml:space="preserve">── VPN &amp; OVERIG ──</t>
  </si>
  <si>
    <t xml:space="preserve">vpn-server</t>
  </si>
  <si>
    <t xml:space="preserve">VPN-server (OpenVPN/WG/SSTP)</t>
  </si>
  <si>
    <t xml:space="preserve">OpenVPN/WG</t>
  </si>
  <si>
    <t xml:space="preserve">Poort 1194 UDP of 443 TCP</t>
  </si>
  <si>
    <t xml:space="preserve">vpn-pool</t>
  </si>
  <si>
    <t xml:space="preserve">VPN client IP-pool</t>
  </si>
  <si>
    <t xml:space="preserve">10.8.0.0/24</t>
  </si>
  <si>
    <t xml:space="preserve">tun0: 10.8.0.1–10.8.0.254</t>
  </si>
  <si>
    <t xml:space="preserve">EilandWol – Subnetten &amp; Poortenoverzicht  |  VS2G Groep 2</t>
  </si>
  <si>
    <t xml:space="preserve">SUBNETTEN</t>
  </si>
  <si>
    <t xml:space="preserve">Netwerknaam</t>
  </si>
  <si>
    <t xml:space="preserve">Subnet (CIDR)</t>
  </si>
  <si>
    <t xml:space="preserve">Masker</t>
  </si>
  <si>
    <t xml:space="preserve">Gateway</t>
  </si>
  <si>
    <t xml:space="preserve">DHCP-range</t>
  </si>
  <si>
    <t xml:space="preserve">VLAN</t>
  </si>
  <si>
    <t xml:space="preserve">Doel</t>
  </si>
  <si>
    <t xml:space="preserve">Application/Server-net</t>
  </si>
  <si>
    <t xml:space="preserve">10.3.0.0/22</t>
  </si>
  <si>
    <t xml:space="preserve">10.3.1.200–10.3.1.207</t>
  </si>
  <si>
    <t xml:space="preserve">Den Helder datacenter + Ameland</t>
  </si>
  <si>
    <t xml:space="preserve">App-laag/Beheer-net</t>
  </si>
  <si>
    <t xml:space="preserve">10.2.0.0/24</t>
  </si>
  <si>
    <t xml:space="preserve">10.2.0.100–10.2.0.200</t>
  </si>
  <si>
    <t xml:space="preserve">10</t>
  </si>
  <si>
    <t xml:space="preserve">Texel medewerkers + beheer</t>
  </si>
  <si>
    <t xml:space="preserve">Texel Servers zone</t>
  </si>
  <si>
    <t xml:space="preserve">10.2.1.0/24</t>
  </si>
  <si>
    <t xml:space="preserve">10.2.1.1</t>
  </si>
  <si>
    <t xml:space="preserve">20</t>
  </si>
  <si>
    <t xml:space="preserve">Servers Texel (zone 2)</t>
  </si>
  <si>
    <t xml:space="preserve">Ameland werkstations</t>
  </si>
  <si>
    <t xml:space="preserve">10.3.1.0/24</t>
  </si>
  <si>
    <t xml:space="preserve">10.3.1.100–10.3.1.207</t>
  </si>
  <si>
    <t xml:space="preserve">Via DHCP relay naar DC1</t>
  </si>
  <si>
    <t xml:space="preserve">10.1.0.0/24</t>
  </si>
  <si>
    <t xml:space="preserve">Proxmox storage + TrueNAS</t>
  </si>
  <si>
    <t xml:space="preserve">VPN clients</t>
  </si>
  <si>
    <t xml:space="preserve">10.8.0.1</t>
  </si>
  <si>
    <t xml:space="preserve">10.8.0.2–254</t>
  </si>
  <si>
    <t xml:space="preserve">Remote VPN-clients (tun0)</t>
  </si>
  <si>
    <t xml:space="preserve">IPv6 Server-net</t>
  </si>
  <si>
    <t xml:space="preserve">fd00:3::/48</t>
  </si>
  <si>
    <t xml:space="preserve">ULA IPv6 Den Helder</t>
  </si>
  <si>
    <t xml:space="preserve">IPv6 App-laag</t>
  </si>
  <si>
    <t xml:space="preserve">fd00:2::/48</t>
  </si>
  <si>
    <t xml:space="preserve">ULA IPv6 Texel</t>
  </si>
  <si>
    <t xml:space="preserve">IPv6 Ameland</t>
  </si>
  <si>
    <t xml:space="preserve">fd00:31::/48</t>
  </si>
  <si>
    <t xml:space="preserve">ULA IPv6 Ameland</t>
  </si>
  <si>
    <t xml:space="preserve">POORTEN &amp; SERVICES</t>
  </si>
  <si>
    <t xml:space="preserve">Service</t>
  </si>
  <si>
    <t xml:space="preserve">Poort</t>
  </si>
  <si>
    <t xml:space="preserve">Protocol</t>
  </si>
  <si>
    <t xml:space="preserve">Server</t>
  </si>
  <si>
    <t xml:space="preserve">firewalld command</t>
  </si>
  <si>
    <t xml:space="preserve">SSH</t>
  </si>
  <si>
    <t xml:space="preserve">22</t>
  </si>
  <si>
    <t xml:space="preserve">TCP</t>
  </si>
  <si>
    <t xml:space="preserve">Alle Linux + VyOS</t>
  </si>
  <si>
    <t xml:space="preserve">firewall-cmd --add-service=ssh</t>
  </si>
  <si>
    <t xml:space="preserve">Public key auth; ww+user ook (casus-eis)</t>
  </si>
  <si>
    <t xml:space="preserve">DNS</t>
  </si>
  <si>
    <t xml:space="preserve">53</t>
  </si>
  <si>
    <t xml:space="preserve">TCP+UDP</t>
  </si>
  <si>
    <t xml:space="preserve">ns1 10.3.0.51</t>
  </si>
  <si>
    <t xml:space="preserve">firewall-cmd --add-service=dns</t>
  </si>
  <si>
    <t xml:space="preserve">BIND9; forward+reverse; IPv4+IPv6</t>
  </si>
  <si>
    <t xml:space="preserve">DHCP</t>
  </si>
  <si>
    <t xml:space="preserve">67</t>
  </si>
  <si>
    <t xml:space="preserve">UDP</t>
  </si>
  <si>
    <t xml:space="preserve">dc1 10.3.0.52</t>
  </si>
  <si>
    <t xml:space="preserve">firewall-cmd --add-service=dhcp</t>
  </si>
  <si>
    <t xml:space="preserve">Scopes Texel + Ameland</t>
  </si>
  <si>
    <t xml:space="preserve">HTTP</t>
  </si>
  <si>
    <t xml:space="preserve">80</t>
  </si>
  <si>
    <t xml:space="preserve">webserver 10.3.0.54</t>
  </si>
  <si>
    <t xml:space="preserve">firewall-cmd --add-service=http</t>
  </si>
  <si>
    <t xml:space="preserve">WordPress intranet</t>
  </si>
  <si>
    <t xml:space="preserve">HTTPS</t>
  </si>
  <si>
    <t xml:space="preserve">443</t>
  </si>
  <si>
    <t xml:space="preserve">firewall-cmd --add-service=https</t>
  </si>
  <si>
    <t xml:space="preserve">SSL/TLS (optioneel: Let's Encrypt)</t>
  </si>
  <si>
    <t xml:space="preserve">SMTP</t>
  </si>
  <si>
    <t xml:space="preserve">25</t>
  </si>
  <si>
    <t xml:space="preserve">mail-dh 10.3.0.55</t>
  </si>
  <si>
    <t xml:space="preserve">firewall-cmd --add-service=smtp</t>
  </si>
  <si>
    <t xml:space="preserve">Postfix; ACL-test: blokkeer → mail weg</t>
  </si>
  <si>
    <t xml:space="preserve">SMB</t>
  </si>
  <si>
    <t xml:space="preserve">445</t>
  </si>
  <si>
    <t xml:space="preserve">fileserver 10.3.0.56</t>
  </si>
  <si>
    <t xml:space="preserve">firewall-cmd --add-service=samba</t>
  </si>
  <si>
    <t xml:space="preserve">Samba shares; ook poort 139</t>
  </si>
  <si>
    <t xml:space="preserve">OpenVPN</t>
  </si>
  <si>
    <t xml:space="preserve">1194</t>
  </si>
  <si>
    <t xml:space="preserve">vpn-server 10.3.0.52</t>
  </si>
  <si>
    <t xml:space="preserve">firewall-cmd --add-port=1194/udp</t>
  </si>
  <si>
    <t xml:space="preserve">Client VPN; tun0 10.8.0.0/24</t>
  </si>
  <si>
    <t xml:space="preserve">WireGuard</t>
  </si>
  <si>
    <t xml:space="preserve">51820</t>
  </si>
  <si>
    <t xml:space="preserve">vpn-server (alt.)</t>
  </si>
  <si>
    <t xml:space="preserve">firewall-cmd --add-port=51820/udp</t>
  </si>
  <si>
    <t xml:space="preserve">Alternatief voor OpenVPN</t>
  </si>
  <si>
    <t xml:space="preserve">IPsec/IKE</t>
  </si>
  <si>
    <t xml:space="preserve">500</t>
  </si>
  <si>
    <t xml:space="preserve">WAN-routers</t>
  </si>
  <si>
    <t xml:space="preserve">firewall-cmd --add-service=ipsec</t>
  </si>
  <si>
    <t xml:space="preserve">strongSwan site-to-site VPN</t>
  </si>
  <si>
    <t xml:space="preserve">OSPF</t>
  </si>
  <si>
    <t xml:space="preserve">89</t>
  </si>
  <si>
    <t xml:space="preserve">IP</t>
  </si>
  <si>
    <t xml:space="preserve">Alle VyOS/FRR routers</t>
  </si>
  <si>
    <t xml:space="preserve">firewall-cmd --add-protocol=ospf</t>
  </si>
  <si>
    <t xml:space="preserve">FRR OSPF; geen TCP/UDP</t>
  </si>
  <si>
    <t xml:space="preserve">LDAP</t>
  </si>
  <si>
    <t xml:space="preserve">389</t>
  </si>
  <si>
    <t xml:space="preserve">firewall-cmd --add-service=ldap</t>
  </si>
  <si>
    <t xml:space="preserve">AD queries vanuit Linux</t>
  </si>
  <si>
    <t xml:space="preserve">Kerberos</t>
  </si>
  <si>
    <t xml:space="preserve">88</t>
  </si>
  <si>
    <t xml:space="preserve">firewall-cmd --add-service=kerberos</t>
  </si>
  <si>
    <t xml:space="preserve">AD authenticatie</t>
  </si>
  <si>
    <t xml:space="preserve">3389</t>
  </si>
  <si>
    <t xml:space="preserve">DC's + werkstations</t>
  </si>
  <si>
    <t xml:space="preserve">firewall-cmd --add-service=rdp</t>
  </si>
  <si>
    <t xml:space="preserve">Optioneel: RDP voor Windows beheer</t>
  </si>
  <si>
    <t xml:space="preserve">ICMP</t>
  </si>
  <si>
    <t xml:space="preserve">Alle hosts</t>
  </si>
  <si>
    <t xml:space="preserve">firewall-cmd --add-protocol=icmp</t>
  </si>
  <si>
    <t xml:space="preserve">Ping voor netwerk-verificatie</t>
  </si>
  <si>
    <t xml:space="preserve">NFS</t>
  </si>
  <si>
    <t xml:space="preserve">2049</t>
  </si>
  <si>
    <t xml:space="preserve">fileserver (opt.)</t>
  </si>
  <si>
    <t xml:space="preserve">firewall-cmd --add-service=nfs</t>
  </si>
  <si>
    <t xml:space="preserve">Optioneel: NFS voor Linux clients</t>
  </si>
  <si>
    <t xml:space="preserve">EilandWol – VyOS Snelle Referentie  |  VS2G Groep 2</t>
  </si>
  <si>
    <t xml:space="preserve">CATEGORIE</t>
  </si>
  <si>
    <t xml:space="preserve">COMMANDO</t>
  </si>
  <si>
    <t xml:space="preserve">UITLEG</t>
  </si>
  <si>
    <t xml:space="preserve">Basis – IP instellen</t>
  </si>
  <si>
    <t xml:space="preserve">set interfaces ethernet eth0 address '10.3.0.1/22'</t>
  </si>
  <si>
    <t xml:space="preserve">Statisch IPv4 op eth0</t>
  </si>
  <si>
    <t xml:space="preserve">Basis – IPv6</t>
  </si>
  <si>
    <t xml:space="preserve">set interfaces ethernet eth0 address 'fd00:3::1/48'</t>
  </si>
  <si>
    <t xml:space="preserve">Statisch IPv6 op eth0</t>
  </si>
  <si>
    <t xml:space="preserve">Basis – Hostnaam</t>
  </si>
  <si>
    <t xml:space="preserve">set system host-name router-denhelder</t>
  </si>
  <si>
    <t xml:space="preserve">Hostnaam instellen</t>
  </si>
  <si>
    <t xml:space="preserve">Basis – DNS</t>
  </si>
  <si>
    <t xml:space="preserve">set system name-server 10.3.0.51</t>
  </si>
  <si>
    <t xml:space="preserve">DNS-server instellen</t>
  </si>
  <si>
    <t xml:space="preserve">Basis – Opslaan</t>
  </si>
  <si>
    <t xml:space="preserve">commit &amp;&amp; save</t>
  </si>
  <si>
    <t xml:space="preserve">Wijzigingen opslaan</t>
  </si>
  <si>
    <t xml:space="preserve">OSPF – Router-id</t>
  </si>
  <si>
    <t xml:space="preserve">set protocols ospf parameters router-id '1.1.1.1'</t>
  </si>
  <si>
    <t xml:space="preserve">Uniek router-ID</t>
  </si>
  <si>
    <t xml:space="preserve">OSPF – Netwerk</t>
  </si>
  <si>
    <t xml:space="preserve">set protocols ospf area 0 network '10.3.0.0/22'</t>
  </si>
  <si>
    <t xml:space="preserve">Netwerk in OSPF area 0</t>
  </si>
  <si>
    <t xml:space="preserve">OSPF – Passief iface</t>
  </si>
  <si>
    <t xml:space="preserve">set protocols ospf passive-interface eth1</t>
  </si>
  <si>
    <t xml:space="preserve">Geen OSPF hellos naar LAN</t>
  </si>
  <si>
    <t xml:space="preserve">OSPFv3 (IPv6)</t>
  </si>
  <si>
    <t xml:space="preserve">set protocols ospfv3 area 0.0.0.0 interface eth0</t>
  </si>
  <si>
    <t xml:space="preserve">IPv6 OSPF op interface</t>
  </si>
  <si>
    <t xml:space="preserve">RIP – Netwerk</t>
  </si>
  <si>
    <t xml:space="preserve">set protocols rip network '10.3.0.0/22'</t>
  </si>
  <si>
    <t xml:space="preserve">Alternatief voor OSPF</t>
  </si>
  <si>
    <t xml:space="preserve">NAT – Masquerade</t>
  </si>
  <si>
    <t xml:space="preserve">set nat source rule 100 outbound-interface eth0</t>
  </si>
  <si>
    <t xml:space="preserve">NAT richting internet</t>
  </si>
  <si>
    <t xml:space="preserve">set nat source rule 100 source address '10.0.0.0/8'</t>
  </si>
  <si>
    <t xml:space="preserve">Interne netwerken</t>
  </si>
  <si>
    <t xml:space="preserve">set nat source rule 100 translation address masquerade</t>
  </si>
  <si>
    <t xml:space="preserve">PAT/overload</t>
  </si>
  <si>
    <t xml:space="preserve">Firewall – Zone</t>
  </si>
  <si>
    <t xml:space="preserve">set firewall name WAN-IN default-action drop</t>
  </si>
  <si>
    <t xml:space="preserve">WAN inkomend blokkeren</t>
  </si>
  <si>
    <t xml:space="preserve">Firewall – Regel</t>
  </si>
  <si>
    <t xml:space="preserve">set firewall name WAN-IN rule 10 action accept</t>
  </si>
  <si>
    <t xml:space="preserve">Toegestane verbinding</t>
  </si>
  <si>
    <t xml:space="preserve">Firewall – Estat.</t>
  </si>
  <si>
    <t xml:space="preserve">set firewall name WAN-IN rule 10 state established enable</t>
  </si>
  <si>
    <t xml:space="preserve">Bestaande sessies</t>
  </si>
  <si>
    <t xml:space="preserve">Firewall – Koppel</t>
  </si>
  <si>
    <t xml:space="preserve">set interfaces ethernet eth0 firewall in name WAN-IN</t>
  </si>
  <si>
    <t xml:space="preserve">Firewall aan interface</t>
  </si>
  <si>
    <t xml:space="preserve">DHCP-relay</t>
  </si>
  <si>
    <t xml:space="preserve">set service dhcp-relay server 10.3.0.52</t>
  </si>
  <si>
    <t xml:space="preserve">Relay naar DHCP-server</t>
  </si>
  <si>
    <t xml:space="preserve">set service dhcp-relay interface eth1</t>
  </si>
  <si>
    <t xml:space="preserve">Relay op LAN-interface</t>
  </si>
  <si>
    <t xml:space="preserve">set service ssh port 22</t>
  </si>
  <si>
    <t xml:space="preserve">SSH inschakelen</t>
  </si>
  <si>
    <t xml:space="preserve">SSH pubkey</t>
  </si>
  <si>
    <t xml:space="preserve">set system login user admin authentication public-keys key1 key '...'</t>
  </si>
  <si>
    <t xml:space="preserve">Public key auth</t>
  </si>
  <si>
    <t xml:space="preserve">VLAN – Subinterface</t>
  </si>
  <si>
    <t xml:space="preserve">set interfaces ethernet eth0 vif 10 address '10.2.0.1/24'</t>
  </si>
  <si>
    <t xml:space="preserve">VLAN 10 op eth0</t>
  </si>
  <si>
    <t xml:space="preserve">Show – Routes</t>
  </si>
  <si>
    <t xml:space="preserve">show ip route</t>
  </si>
  <si>
    <t xml:space="preserve">Routeringstabel tonen</t>
  </si>
  <si>
    <t xml:space="preserve">Show – OSPF buren</t>
  </si>
  <si>
    <t xml:space="preserve">show ip ospf neighbor</t>
  </si>
  <si>
    <t xml:space="preserve">OSPF neighbours</t>
  </si>
  <si>
    <t xml:space="preserve">Show – Interfaces</t>
  </si>
  <si>
    <t xml:space="preserve">show interfaces</t>
  </si>
  <si>
    <t xml:space="preserve">Alle interfaces + status</t>
  </si>
  <si>
    <t xml:space="preserve">Show – Config</t>
  </si>
  <si>
    <t xml:space="preserve">show configuration</t>
  </si>
  <si>
    <t xml:space="preserve">Volledige configuratie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</si>
</sst>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E7A3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75B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E7A3E"/>
      <name val="Arial"/>
      <family val="0"/>
      <charset val="1"/>
    </font>
    <font>
      <b val="true"/>
      <sz val="12"/>
      <color rgb="FFD3540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5B2C6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sz val="10"/>
      <color rgb="FF888888"/>
      <name val="Arial"/>
      <family val="0"/>
      <charset val="1"/>
    </font>
    <font>
      <sz val="9"/>
      <color rgb="FF1E3A5F"/>
      <name val="Courier New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1E3A5F"/>
      </patternFill>
    </fill>
    <fill>
      <patternFill patternType="solid">
        <fgColor rgb="FF2E75B6"/>
        <bgColor rgb="FF0066CC"/>
      </patternFill>
    </fill>
    <fill>
      <patternFill patternType="solid">
        <fgColor rgb="FFC0392B"/>
        <bgColor rgb="FFD35400"/>
      </patternFill>
    </fill>
    <fill>
      <patternFill patternType="solid">
        <fgColor rgb="FFF0FAF4"/>
        <bgColor rgb="FFF0F4FF"/>
      </patternFill>
    </fill>
    <fill>
      <patternFill patternType="solid">
        <fgColor rgb="FFD9F2E4"/>
        <bgColor rgb="FFD1F2EB"/>
      </patternFill>
    </fill>
    <fill>
      <patternFill patternType="solid">
        <fgColor rgb="FFEBF3FB"/>
        <bgColor rgb="FFF0F4FF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0FAF4"/>
      </patternFill>
    </fill>
    <fill>
      <patternFill patternType="solid">
        <fgColor rgb="FFFDEBD0"/>
        <bgColor rgb="FFFADBD8"/>
      </patternFill>
    </fill>
    <fill>
      <patternFill patternType="solid">
        <fgColor rgb="FFD6E4F0"/>
        <bgColor rgb="FFD1F2EB"/>
      </patternFill>
    </fill>
    <fill>
      <patternFill patternType="solid">
        <fgColor rgb="FF5B2C6F"/>
        <bgColor rgb="FF660066"/>
      </patternFill>
    </fill>
    <fill>
      <patternFill patternType="solid">
        <fgColor rgb="FFF39C12"/>
        <bgColor rgb="FFFFCC00"/>
      </patternFill>
    </fill>
    <fill>
      <patternFill patternType="solid">
        <fgColor rgb="FFF4ECF7"/>
        <bgColor rgb="FFF2F2F2"/>
      </patternFill>
    </fill>
    <fill>
      <patternFill patternType="solid">
        <fgColor rgb="FF595959"/>
        <bgColor rgb="FF1F4E79"/>
      </patternFill>
    </fill>
    <fill>
      <patternFill patternType="solid">
        <fgColor rgb="FF0E6655"/>
        <bgColor rgb="FF1E7A3E"/>
      </patternFill>
    </fill>
    <fill>
      <patternFill patternType="solid">
        <fgColor rgb="FFF2F2F2"/>
        <bgColor rgb="FFF0F4FF"/>
      </patternFill>
    </fill>
    <fill>
      <patternFill patternType="solid">
        <fgColor rgb="FFD1F2EB"/>
        <bgColor rgb="FFD9F2E4"/>
      </patternFill>
    </fill>
    <fill>
      <patternFill patternType="solid">
        <fgColor rgb="FFF0F4FF"/>
        <bgColor rgb="FFEB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E"/>
      <rgbColor rgb="FF000080"/>
      <rgbColor rgb="FF808000"/>
      <rgbColor rgb="FF800080"/>
      <rgbColor rgb="FF0E6655"/>
      <rgbColor rgb="FFCCCCCC"/>
      <rgbColor rgb="FF888888"/>
      <rgbColor rgb="FF9999FF"/>
      <rgbColor rgb="FF993366"/>
      <rgbColor rgb="FFFDEBD0"/>
      <rgbColor rgb="FFD1F2E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2E4"/>
      <rgbColor rgb="FFF0FAF4"/>
      <rgbColor rgb="FFF4ECF7"/>
      <rgbColor rgb="FFF2F2F2"/>
      <rgbColor rgb="FFF0F4FF"/>
      <rgbColor rgb="FFFADBD8"/>
      <rgbColor rgb="FF2E75B6"/>
      <rgbColor rgb="FF33CCCC"/>
      <rgbColor rgb="FF99CC00"/>
      <rgbColor rgb="FFFFCC00"/>
      <rgbColor rgb="FFF39C12"/>
      <rgbColor rgb="FFD35400"/>
      <rgbColor rgb="FF595959"/>
      <rgbColor rgb="FF969696"/>
      <rgbColor rgb="FF1E3A5F"/>
      <rgbColor rgb="FF339966"/>
      <rgbColor rgb="FF003300"/>
      <rgbColor rgb="FF333300"/>
      <rgbColor rgb="FFC0392B"/>
      <rgbColor rgb="FF993366"/>
      <rgbColor rgb="FF1F4E79"/>
      <rgbColor rgb="FF5B2C6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44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customFormat="false" ht="19.5" hidden="false" customHeight="tru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8" hidden="false" customHeight="true" outlineLevel="0" collapsed="false">
      <c r="A6" s="6" t="n">
        <v>1</v>
      </c>
      <c r="B6" s="7" t="s">
        <v>14</v>
      </c>
      <c r="C6" s="8" t="s">
        <v>15</v>
      </c>
      <c r="D6" s="9" t="s">
        <v>16</v>
      </c>
      <c r="E6" s="10"/>
      <c r="F6" s="11" t="s">
        <v>17</v>
      </c>
      <c r="G6" s="12" t="s">
        <v>18</v>
      </c>
      <c r="H6" s="13" t="s">
        <v>19</v>
      </c>
      <c r="I6" s="10" t="s">
        <v>20</v>
      </c>
      <c r="J6" s="10"/>
    </row>
    <row r="7" customFormat="false" ht="18" hidden="false" customHeight="true" outlineLevel="0" collapsed="false">
      <c r="A7" s="6" t="n">
        <v>2</v>
      </c>
      <c r="B7" s="7" t="s">
        <v>21</v>
      </c>
      <c r="C7" s="8" t="s">
        <v>15</v>
      </c>
      <c r="D7" s="9" t="s">
        <v>16</v>
      </c>
      <c r="E7" s="10"/>
      <c r="F7" s="11" t="s">
        <v>22</v>
      </c>
      <c r="G7" s="12" t="s">
        <v>18</v>
      </c>
      <c r="H7" s="13" t="s">
        <v>23</v>
      </c>
      <c r="I7" s="10" t="s">
        <v>20</v>
      </c>
      <c r="J7" s="10"/>
    </row>
    <row r="8" customFormat="false" ht="18" hidden="false" customHeight="true" outlineLevel="0" collapsed="false">
      <c r="A8" s="14" t="n">
        <v>3</v>
      </c>
      <c r="B8" s="15" t="s">
        <v>24</v>
      </c>
      <c r="C8" s="16" t="s">
        <v>15</v>
      </c>
      <c r="D8" s="17" t="s">
        <v>25</v>
      </c>
      <c r="E8" s="18"/>
      <c r="F8" s="19" t="s">
        <v>26</v>
      </c>
      <c r="G8" s="20" t="s">
        <v>27</v>
      </c>
      <c r="H8" s="21" t="s">
        <v>28</v>
      </c>
      <c r="I8" s="18" t="s">
        <v>29</v>
      </c>
      <c r="J8" s="18"/>
    </row>
    <row r="9" customFormat="false" ht="18" hidden="false" customHeight="true" outlineLevel="0" collapsed="false">
      <c r="A9" s="22" t="n">
        <v>4</v>
      </c>
      <c r="B9" s="23" t="s">
        <v>30</v>
      </c>
      <c r="C9" s="24" t="s">
        <v>15</v>
      </c>
      <c r="D9" s="17" t="s">
        <v>25</v>
      </c>
      <c r="E9" s="25"/>
      <c r="F9" s="26" t="s">
        <v>31</v>
      </c>
      <c r="G9" s="27" t="s">
        <v>32</v>
      </c>
      <c r="H9" s="28" t="s">
        <v>33</v>
      </c>
      <c r="I9" s="25" t="s">
        <v>34</v>
      </c>
      <c r="J9" s="25"/>
    </row>
    <row r="10" customFormat="false" ht="18" hidden="false" customHeight="true" outlineLevel="0" collapsed="false">
      <c r="A10" s="14" t="n">
        <v>5</v>
      </c>
      <c r="B10" s="15" t="s">
        <v>35</v>
      </c>
      <c r="C10" s="16" t="s">
        <v>15</v>
      </c>
      <c r="D10" s="17" t="s">
        <v>25</v>
      </c>
      <c r="E10" s="18"/>
      <c r="F10" s="19" t="s">
        <v>36</v>
      </c>
      <c r="G10" s="20" t="s">
        <v>37</v>
      </c>
      <c r="H10" s="21" t="s">
        <v>38</v>
      </c>
      <c r="I10" s="18" t="s">
        <v>39</v>
      </c>
      <c r="J10" s="18"/>
    </row>
    <row r="11" customFormat="false" ht="19.5" hidden="false" customHeight="true" outlineLevel="0" collapsed="false">
      <c r="A11" s="5" t="s">
        <v>40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8" hidden="false" customHeight="true" outlineLevel="0" collapsed="false">
      <c r="A12" s="22" t="n">
        <v>6</v>
      </c>
      <c r="B12" s="23" t="s">
        <v>41</v>
      </c>
      <c r="C12" s="24" t="s">
        <v>42</v>
      </c>
      <c r="D12" s="17" t="s">
        <v>25</v>
      </c>
      <c r="E12" s="25"/>
      <c r="F12" s="26" t="s">
        <v>43</v>
      </c>
      <c r="G12" s="27" t="s">
        <v>44</v>
      </c>
      <c r="H12" s="28" t="s">
        <v>45</v>
      </c>
      <c r="I12" s="25" t="s">
        <v>46</v>
      </c>
      <c r="J12" s="25"/>
    </row>
    <row r="13" customFormat="false" ht="18" hidden="false" customHeight="true" outlineLevel="0" collapsed="false">
      <c r="A13" s="14" t="n">
        <v>7</v>
      </c>
      <c r="B13" s="15" t="s">
        <v>47</v>
      </c>
      <c r="C13" s="16" t="s">
        <v>42</v>
      </c>
      <c r="D13" s="17" t="s">
        <v>25</v>
      </c>
      <c r="E13" s="18"/>
      <c r="F13" s="19" t="s">
        <v>48</v>
      </c>
      <c r="G13" s="20" t="s">
        <v>49</v>
      </c>
      <c r="H13" s="21" t="s">
        <v>50</v>
      </c>
      <c r="I13" s="18" t="s">
        <v>51</v>
      </c>
      <c r="J13" s="18"/>
    </row>
    <row r="14" customFormat="false" ht="18" hidden="false" customHeight="true" outlineLevel="0" collapsed="false">
      <c r="A14" s="22" t="n">
        <v>8</v>
      </c>
      <c r="B14" s="23" t="s">
        <v>52</v>
      </c>
      <c r="C14" s="24" t="s">
        <v>42</v>
      </c>
      <c r="D14" s="17" t="s">
        <v>25</v>
      </c>
      <c r="E14" s="25"/>
      <c r="F14" s="26" t="s">
        <v>53</v>
      </c>
      <c r="G14" s="27" t="s">
        <v>54</v>
      </c>
      <c r="H14" s="28" t="s">
        <v>55</v>
      </c>
      <c r="I14" s="25" t="s">
        <v>56</v>
      </c>
      <c r="J14" s="25"/>
    </row>
    <row r="15" customFormat="false" ht="18" hidden="false" customHeight="true" outlineLevel="0" collapsed="false">
      <c r="A15" s="14" t="n">
        <v>9</v>
      </c>
      <c r="B15" s="15" t="s">
        <v>57</v>
      </c>
      <c r="C15" s="16" t="s">
        <v>42</v>
      </c>
      <c r="D15" s="17" t="s">
        <v>25</v>
      </c>
      <c r="E15" s="18"/>
      <c r="F15" s="19" t="s">
        <v>58</v>
      </c>
      <c r="G15" s="20" t="s">
        <v>59</v>
      </c>
      <c r="H15" s="21" t="s">
        <v>60</v>
      </c>
      <c r="I15" s="18" t="s">
        <v>61</v>
      </c>
      <c r="J15" s="18"/>
    </row>
    <row r="16" customFormat="false" ht="18" hidden="false" customHeight="true" outlineLevel="0" collapsed="false">
      <c r="A16" s="22" t="n">
        <v>10</v>
      </c>
      <c r="B16" s="23" t="s">
        <v>62</v>
      </c>
      <c r="C16" s="24" t="s">
        <v>42</v>
      </c>
      <c r="D16" s="17" t="s">
        <v>25</v>
      </c>
      <c r="E16" s="25"/>
      <c r="F16" s="26" t="s">
        <v>63</v>
      </c>
      <c r="G16" s="27" t="s">
        <v>64</v>
      </c>
      <c r="H16" s="28" t="s">
        <v>65</v>
      </c>
      <c r="I16" s="25" t="s">
        <v>66</v>
      </c>
      <c r="J16" s="25"/>
    </row>
    <row r="17" customFormat="false" ht="18" hidden="false" customHeight="true" outlineLevel="0" collapsed="false">
      <c r="A17" s="14" t="n">
        <v>11</v>
      </c>
      <c r="B17" s="15" t="s">
        <v>67</v>
      </c>
      <c r="C17" s="16" t="s">
        <v>42</v>
      </c>
      <c r="D17" s="17" t="s">
        <v>25</v>
      </c>
      <c r="E17" s="18"/>
      <c r="F17" s="19" t="s">
        <v>68</v>
      </c>
      <c r="G17" s="20" t="s">
        <v>69</v>
      </c>
      <c r="H17" s="21" t="s">
        <v>70</v>
      </c>
      <c r="I17" s="18" t="s">
        <v>71</v>
      </c>
      <c r="J17" s="18"/>
    </row>
    <row r="18" customFormat="false" ht="19.5" hidden="false" customHeight="true" outlineLevel="0" collapsed="false">
      <c r="A18" s="5" t="s">
        <v>72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8" hidden="false" customHeight="true" outlineLevel="0" collapsed="false">
      <c r="A19" s="22" t="n">
        <v>12</v>
      </c>
      <c r="B19" s="23" t="s">
        <v>73</v>
      </c>
      <c r="C19" s="24" t="s">
        <v>74</v>
      </c>
      <c r="D19" s="17" t="s">
        <v>25</v>
      </c>
      <c r="E19" s="25"/>
      <c r="F19" s="26" t="s">
        <v>75</v>
      </c>
      <c r="G19" s="27" t="s">
        <v>76</v>
      </c>
      <c r="H19" s="28" t="s">
        <v>77</v>
      </c>
      <c r="I19" s="25" t="s">
        <v>78</v>
      </c>
      <c r="J19" s="25"/>
    </row>
    <row r="20" customFormat="false" ht="19.5" hidden="false" customHeight="true" outlineLevel="0" collapsed="false">
      <c r="A20" s="5" t="s">
        <v>79</v>
      </c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8" hidden="false" customHeight="true" outlineLevel="0" collapsed="false">
      <c r="A21" s="14" t="n">
        <v>13</v>
      </c>
      <c r="B21" s="15" t="s">
        <v>80</v>
      </c>
      <c r="C21" s="16" t="s">
        <v>81</v>
      </c>
      <c r="D21" s="17" t="s">
        <v>25</v>
      </c>
      <c r="E21" s="18"/>
      <c r="F21" s="19" t="s">
        <v>82</v>
      </c>
      <c r="G21" s="20" t="s">
        <v>83</v>
      </c>
      <c r="H21" s="21" t="s">
        <v>84</v>
      </c>
      <c r="I21" s="18"/>
      <c r="J21" s="18"/>
    </row>
    <row r="22" customFormat="false" ht="18" hidden="false" customHeight="true" outlineLevel="0" collapsed="false">
      <c r="A22" s="22" t="n">
        <v>14</v>
      </c>
      <c r="B22" s="23" t="s">
        <v>85</v>
      </c>
      <c r="C22" s="24" t="s">
        <v>81</v>
      </c>
      <c r="D22" s="17" t="s">
        <v>25</v>
      </c>
      <c r="E22" s="25"/>
      <c r="F22" s="26" t="s">
        <v>82</v>
      </c>
      <c r="G22" s="27" t="s">
        <v>86</v>
      </c>
      <c r="H22" s="28" t="s">
        <v>87</v>
      </c>
      <c r="I22" s="25" t="s">
        <v>88</v>
      </c>
      <c r="J22" s="25"/>
    </row>
    <row r="23" customFormat="false" ht="18" hidden="false" customHeight="true" outlineLevel="0" collapsed="false">
      <c r="A23" s="14" t="n">
        <v>15</v>
      </c>
      <c r="B23" s="15" t="s">
        <v>89</v>
      </c>
      <c r="C23" s="16" t="s">
        <v>81</v>
      </c>
      <c r="D23" s="17" t="s">
        <v>25</v>
      </c>
      <c r="E23" s="18"/>
      <c r="F23" s="19" t="s">
        <v>82</v>
      </c>
      <c r="G23" s="20" t="s">
        <v>86</v>
      </c>
      <c r="H23" s="21" t="s">
        <v>90</v>
      </c>
      <c r="I23" s="18" t="s">
        <v>91</v>
      </c>
      <c r="J23" s="18"/>
    </row>
    <row r="24" customFormat="false" ht="18" hidden="false" customHeight="true" outlineLevel="0" collapsed="false">
      <c r="A24" s="22" t="n">
        <v>16</v>
      </c>
      <c r="B24" s="23" t="s">
        <v>92</v>
      </c>
      <c r="C24" s="24" t="s">
        <v>81</v>
      </c>
      <c r="D24" s="17" t="s">
        <v>25</v>
      </c>
      <c r="E24" s="25"/>
      <c r="F24" s="26" t="s">
        <v>82</v>
      </c>
      <c r="G24" s="27" t="s">
        <v>86</v>
      </c>
      <c r="H24" s="28" t="s">
        <v>93</v>
      </c>
      <c r="I24" s="25" t="s">
        <v>94</v>
      </c>
      <c r="J24" s="25"/>
    </row>
    <row r="25" customFormat="false" ht="19.5" hidden="false" customHeight="true" outlineLevel="0" collapsed="false">
      <c r="A25" s="5" t="s">
        <v>95</v>
      </c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8" hidden="false" customHeight="true" outlineLevel="0" collapsed="false">
      <c r="A26" s="14" t="n">
        <v>17</v>
      </c>
      <c r="B26" s="15" t="s">
        <v>96</v>
      </c>
      <c r="C26" s="16" t="s">
        <v>97</v>
      </c>
      <c r="D26" s="17" t="s">
        <v>25</v>
      </c>
      <c r="E26" s="18"/>
      <c r="F26" s="19" t="s">
        <v>98</v>
      </c>
      <c r="G26" s="20" t="s">
        <v>99</v>
      </c>
      <c r="H26" s="21" t="s">
        <v>100</v>
      </c>
      <c r="I26" s="18" t="s">
        <v>101</v>
      </c>
      <c r="J26" s="18"/>
    </row>
    <row r="27" customFormat="false" ht="18" hidden="false" customHeight="true" outlineLevel="0" collapsed="false">
      <c r="A27" s="22" t="n">
        <v>18</v>
      </c>
      <c r="B27" s="23" t="s">
        <v>102</v>
      </c>
      <c r="C27" s="24" t="s">
        <v>97</v>
      </c>
      <c r="D27" s="17" t="s">
        <v>25</v>
      </c>
      <c r="E27" s="25"/>
      <c r="F27" s="26" t="s">
        <v>103</v>
      </c>
      <c r="G27" s="27" t="s">
        <v>104</v>
      </c>
      <c r="H27" s="28" t="s">
        <v>105</v>
      </c>
      <c r="I27" s="25" t="s">
        <v>106</v>
      </c>
      <c r="J27" s="25"/>
    </row>
    <row r="28" customFormat="false" ht="18" hidden="false" customHeight="true" outlineLevel="0" collapsed="false">
      <c r="A28" s="14" t="n">
        <v>19</v>
      </c>
      <c r="B28" s="15" t="s">
        <v>107</v>
      </c>
      <c r="C28" s="16" t="s">
        <v>97</v>
      </c>
      <c r="D28" s="17" t="s">
        <v>25</v>
      </c>
      <c r="E28" s="18"/>
      <c r="F28" s="19" t="s">
        <v>108</v>
      </c>
      <c r="G28" s="20" t="s">
        <v>109</v>
      </c>
      <c r="H28" s="21" t="s">
        <v>110</v>
      </c>
      <c r="I28" s="18" t="s">
        <v>111</v>
      </c>
      <c r="J28" s="18"/>
    </row>
    <row r="29" customFormat="false" ht="18" hidden="false" customHeight="true" outlineLevel="0" collapsed="false">
      <c r="A29" s="22" t="n">
        <v>20</v>
      </c>
      <c r="B29" s="23" t="s">
        <v>112</v>
      </c>
      <c r="C29" s="24" t="s">
        <v>97</v>
      </c>
      <c r="D29" s="17" t="s">
        <v>25</v>
      </c>
      <c r="E29" s="25"/>
      <c r="F29" s="26" t="s">
        <v>113</v>
      </c>
      <c r="G29" s="27" t="s">
        <v>114</v>
      </c>
      <c r="H29" s="28" t="s">
        <v>115</v>
      </c>
      <c r="I29" s="25" t="s">
        <v>116</v>
      </c>
      <c r="J29" s="25"/>
    </row>
    <row r="30" customFormat="false" ht="18" hidden="false" customHeight="true" outlineLevel="0" collapsed="false">
      <c r="A30" s="14" t="n">
        <v>21</v>
      </c>
      <c r="B30" s="15" t="s">
        <v>117</v>
      </c>
      <c r="C30" s="16" t="s">
        <v>97</v>
      </c>
      <c r="D30" s="17" t="s">
        <v>25</v>
      </c>
      <c r="E30" s="18"/>
      <c r="F30" s="19" t="s">
        <v>118</v>
      </c>
      <c r="G30" s="20" t="s">
        <v>119</v>
      </c>
      <c r="H30" s="21" t="s">
        <v>120</v>
      </c>
      <c r="I30" s="18" t="s">
        <v>121</v>
      </c>
      <c r="J30" s="18"/>
    </row>
    <row r="31" customFormat="false" ht="18" hidden="false" customHeight="true" outlineLevel="0" collapsed="false">
      <c r="A31" s="22" t="n">
        <v>22</v>
      </c>
      <c r="B31" s="23" t="s">
        <v>122</v>
      </c>
      <c r="C31" s="24" t="s">
        <v>97</v>
      </c>
      <c r="D31" s="17" t="s">
        <v>25</v>
      </c>
      <c r="E31" s="25"/>
      <c r="F31" s="26" t="s">
        <v>123</v>
      </c>
      <c r="G31" s="27" t="s">
        <v>124</v>
      </c>
      <c r="H31" s="28" t="s">
        <v>125</v>
      </c>
      <c r="I31" s="25" t="s">
        <v>126</v>
      </c>
      <c r="J31" s="25"/>
    </row>
    <row r="32" customFormat="false" ht="19.5" hidden="false" customHeight="true" outlineLevel="0" collapsed="false">
      <c r="A32" s="5" t="s">
        <v>127</v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8" hidden="false" customHeight="true" outlineLevel="0" collapsed="false">
      <c r="A33" s="14" t="n">
        <v>23</v>
      </c>
      <c r="B33" s="15" t="s">
        <v>128</v>
      </c>
      <c r="C33" s="16" t="s">
        <v>81</v>
      </c>
      <c r="D33" s="17" t="s">
        <v>25</v>
      </c>
      <c r="E33" s="18"/>
      <c r="F33" s="19" t="s">
        <v>129</v>
      </c>
      <c r="G33" s="20" t="s">
        <v>130</v>
      </c>
      <c r="H33" s="21" t="s">
        <v>131</v>
      </c>
      <c r="I33" s="18" t="s">
        <v>132</v>
      </c>
      <c r="J33" s="18"/>
    </row>
    <row r="34" customFormat="false" ht="18" hidden="false" customHeight="true" outlineLevel="0" collapsed="false">
      <c r="A34" s="22" t="n">
        <v>24</v>
      </c>
      <c r="B34" s="23" t="s">
        <v>133</v>
      </c>
      <c r="C34" s="24" t="s">
        <v>81</v>
      </c>
      <c r="D34" s="17" t="s">
        <v>25</v>
      </c>
      <c r="E34" s="25"/>
      <c r="F34" s="26" t="s">
        <v>134</v>
      </c>
      <c r="G34" s="27" t="s">
        <v>135</v>
      </c>
      <c r="H34" s="28" t="s">
        <v>136</v>
      </c>
      <c r="I34" s="25" t="s">
        <v>137</v>
      </c>
      <c r="J34" s="25"/>
    </row>
    <row r="35" customFormat="false" ht="18" hidden="false" customHeight="true" outlineLevel="0" collapsed="false">
      <c r="A35" s="14" t="n">
        <v>25</v>
      </c>
      <c r="B35" s="15" t="s">
        <v>138</v>
      </c>
      <c r="C35" s="16" t="s">
        <v>81</v>
      </c>
      <c r="D35" s="17" t="s">
        <v>25</v>
      </c>
      <c r="E35" s="18"/>
      <c r="F35" s="19" t="s">
        <v>139</v>
      </c>
      <c r="G35" s="20" t="s">
        <v>140</v>
      </c>
      <c r="H35" s="21" t="s">
        <v>136</v>
      </c>
      <c r="I35" s="18" t="s">
        <v>137</v>
      </c>
      <c r="J35" s="18"/>
    </row>
    <row r="36" customFormat="false" ht="19.5" hidden="false" customHeight="true" outlineLevel="0" collapsed="false">
      <c r="A36" s="5" t="s">
        <v>141</v>
      </c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8" hidden="false" customHeight="true" outlineLevel="0" collapsed="false">
      <c r="A37" s="22" t="n">
        <v>26</v>
      </c>
      <c r="B37" s="23" t="s">
        <v>142</v>
      </c>
      <c r="C37" s="24" t="s">
        <v>81</v>
      </c>
      <c r="D37" s="17" t="s">
        <v>25</v>
      </c>
      <c r="E37" s="25"/>
      <c r="F37" s="26" t="s">
        <v>143</v>
      </c>
      <c r="G37" s="27" t="s">
        <v>144</v>
      </c>
      <c r="H37" s="28" t="s">
        <v>145</v>
      </c>
      <c r="I37" s="25" t="s">
        <v>146</v>
      </c>
      <c r="J37" s="25"/>
    </row>
    <row r="38" customFormat="false" ht="18" hidden="false" customHeight="true" outlineLevel="0" collapsed="false">
      <c r="A38" s="14" t="n">
        <v>27</v>
      </c>
      <c r="B38" s="15" t="s">
        <v>147</v>
      </c>
      <c r="C38" s="16" t="s">
        <v>81</v>
      </c>
      <c r="D38" s="17" t="s">
        <v>25</v>
      </c>
      <c r="E38" s="18"/>
      <c r="F38" s="19" t="s">
        <v>148</v>
      </c>
      <c r="G38" s="20" t="s">
        <v>149</v>
      </c>
      <c r="H38" s="21" t="s">
        <v>150</v>
      </c>
      <c r="I38" s="18" t="s">
        <v>151</v>
      </c>
      <c r="J38" s="18"/>
    </row>
    <row r="39" customFormat="false" ht="19.5" hidden="false" customHeight="true" outlineLevel="0" collapsed="false">
      <c r="A39" s="5" t="s">
        <v>152</v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8" hidden="false" customHeight="true" outlineLevel="0" collapsed="false">
      <c r="A40" s="22" t="n">
        <v>28</v>
      </c>
      <c r="B40" s="23" t="s">
        <v>153</v>
      </c>
      <c r="C40" s="24" t="s">
        <v>81</v>
      </c>
      <c r="D40" s="17" t="s">
        <v>25</v>
      </c>
      <c r="E40" s="25"/>
      <c r="F40" s="26" t="s">
        <v>154</v>
      </c>
      <c r="G40" s="27" t="s">
        <v>155</v>
      </c>
      <c r="H40" s="28" t="s">
        <v>156</v>
      </c>
      <c r="I40" s="25" t="s">
        <v>157</v>
      </c>
      <c r="J40" s="25"/>
    </row>
    <row r="41" customFormat="false" ht="18" hidden="false" customHeight="true" outlineLevel="0" collapsed="false">
      <c r="A41" s="14" t="n">
        <v>29</v>
      </c>
      <c r="B41" s="15" t="s">
        <v>158</v>
      </c>
      <c r="C41" s="16" t="s">
        <v>81</v>
      </c>
      <c r="D41" s="17" t="s">
        <v>25</v>
      </c>
      <c r="E41" s="18"/>
      <c r="F41" s="19" t="s">
        <v>159</v>
      </c>
      <c r="G41" s="20" t="s">
        <v>160</v>
      </c>
      <c r="H41" s="21" t="s">
        <v>161</v>
      </c>
      <c r="I41" s="18" t="s">
        <v>162</v>
      </c>
      <c r="J41" s="18"/>
    </row>
    <row r="42" customFormat="false" ht="19.5" hidden="false" customHeight="true" outlineLevel="0" collapsed="false">
      <c r="A42" s="5" t="s">
        <v>163</v>
      </c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8" hidden="false" customHeight="true" outlineLevel="0" collapsed="false">
      <c r="A43" s="22" t="n">
        <v>30</v>
      </c>
      <c r="B43" s="23" t="s">
        <v>164</v>
      </c>
      <c r="C43" s="24" t="s">
        <v>81</v>
      </c>
      <c r="D43" s="17" t="s">
        <v>25</v>
      </c>
      <c r="E43" s="25"/>
      <c r="F43" s="26" t="s">
        <v>165</v>
      </c>
      <c r="G43" s="27" t="s">
        <v>166</v>
      </c>
      <c r="H43" s="28" t="s">
        <v>167</v>
      </c>
      <c r="I43" s="25" t="s">
        <v>168</v>
      </c>
      <c r="J43" s="25"/>
    </row>
    <row r="44" customFormat="false" ht="18" hidden="false" customHeight="true" outlineLevel="0" collapsed="false">
      <c r="A44" s="14" t="n">
        <v>31</v>
      </c>
      <c r="B44" s="15" t="s">
        <v>169</v>
      </c>
      <c r="C44" s="16" t="s">
        <v>81</v>
      </c>
      <c r="D44" s="17" t="s">
        <v>25</v>
      </c>
      <c r="E44" s="18"/>
      <c r="F44" s="19" t="s">
        <v>170</v>
      </c>
      <c r="G44" s="20" t="s">
        <v>166</v>
      </c>
      <c r="H44" s="21" t="s">
        <v>167</v>
      </c>
      <c r="I44" s="18" t="s">
        <v>171</v>
      </c>
      <c r="J44" s="18"/>
    </row>
    <row r="45" customFormat="false" ht="18" hidden="false" customHeight="true" outlineLevel="0" collapsed="false">
      <c r="A45" s="22" t="n">
        <v>32</v>
      </c>
      <c r="B45" s="23" t="s">
        <v>172</v>
      </c>
      <c r="C45" s="24" t="s">
        <v>81</v>
      </c>
      <c r="D45" s="17" t="s">
        <v>25</v>
      </c>
      <c r="E45" s="25"/>
      <c r="F45" s="26" t="s">
        <v>173</v>
      </c>
      <c r="G45" s="27" t="s">
        <v>174</v>
      </c>
      <c r="H45" s="28" t="s">
        <v>175</v>
      </c>
      <c r="I45" s="25" t="s">
        <v>176</v>
      </c>
      <c r="J45" s="25"/>
    </row>
    <row r="46" customFormat="false" ht="19.5" hidden="false" customHeight="true" outlineLevel="0" collapsed="false">
      <c r="A46" s="5" t="s">
        <v>177</v>
      </c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8" hidden="false" customHeight="true" outlineLevel="0" collapsed="false">
      <c r="A47" s="14" t="n">
        <v>33</v>
      </c>
      <c r="B47" s="15" t="s">
        <v>178</v>
      </c>
      <c r="C47" s="16" t="s">
        <v>74</v>
      </c>
      <c r="D47" s="17" t="s">
        <v>25</v>
      </c>
      <c r="E47" s="18"/>
      <c r="F47" s="19" t="s">
        <v>179</v>
      </c>
      <c r="G47" s="20" t="s">
        <v>180</v>
      </c>
      <c r="H47" s="21" t="s">
        <v>181</v>
      </c>
      <c r="I47" s="18" t="s">
        <v>182</v>
      </c>
      <c r="J47" s="18"/>
    </row>
    <row r="48" customFormat="false" ht="18" hidden="false" customHeight="true" outlineLevel="0" collapsed="false">
      <c r="A48" s="22" t="n">
        <v>34</v>
      </c>
      <c r="B48" s="23" t="s">
        <v>183</v>
      </c>
      <c r="C48" s="24" t="s">
        <v>74</v>
      </c>
      <c r="D48" s="17" t="s">
        <v>25</v>
      </c>
      <c r="E48" s="25"/>
      <c r="F48" s="26" t="s">
        <v>184</v>
      </c>
      <c r="G48" s="27" t="s">
        <v>185</v>
      </c>
      <c r="H48" s="28" t="s">
        <v>186</v>
      </c>
      <c r="I48" s="25" t="s">
        <v>187</v>
      </c>
      <c r="J48" s="25"/>
    </row>
    <row r="50" customFormat="false" ht="24" hidden="false" customHeight="true" outlineLevel="0" collapsed="false">
      <c r="A50" s="29" t="s">
        <v>188</v>
      </c>
      <c r="B50" s="29"/>
      <c r="C50" s="29"/>
      <c r="D50" s="30" t="n">
        <f aca="false">COUNTIF(D5:D48,"✅ Klaar")</f>
        <v>2</v>
      </c>
      <c r="E50" s="31" t="n">
        <f aca="false">COUNTIF(D5:D48,"🔄 Bezig")</f>
        <v>0</v>
      </c>
      <c r="F50" s="32" t="n">
        <f aca="false">COUNTIF(D5:D48,"❌ Nog doen")</f>
        <v>32</v>
      </c>
      <c r="G50" s="33" t="str">
        <f aca="false">D50&amp;" klaar  |  "&amp;E50&amp;" bezig  |  "&amp;F50&amp;" nog te doen  van 34 totaal"</f>
        <v>2 klaar  |  0 bezig  |  32 nog te doen  van 34 totaal</v>
      </c>
      <c r="H50" s="33"/>
      <c r="I50" s="33"/>
      <c r="J50" s="33"/>
    </row>
  </sheetData>
  <mergeCells count="15">
    <mergeCell ref="A1:J1"/>
    <mergeCell ref="A2:J2"/>
    <mergeCell ref="A3:J3"/>
    <mergeCell ref="A5:J5"/>
    <mergeCell ref="A11:J11"/>
    <mergeCell ref="A18:J18"/>
    <mergeCell ref="A20:J20"/>
    <mergeCell ref="A25:J25"/>
    <mergeCell ref="A32:J32"/>
    <mergeCell ref="A36:J36"/>
    <mergeCell ref="A39:J39"/>
    <mergeCell ref="A42:J42"/>
    <mergeCell ref="A46:J46"/>
    <mergeCell ref="A50:C50"/>
    <mergeCell ref="G50:J50"/>
  </mergeCells>
  <dataValidations count="1">
    <dataValidation allowBlank="false" errorStyle="stop" operator="between" showDropDown="false" showErrorMessage="false" showInputMessage="false" sqref="D6:D10 D12:D17 D19 D21:D24 D26:D31 D33:D35 D37:D38 D40:D41 D43:D45 D47:D48" type="list">
      <formula1>"✅ Klaar,🔄 Bezig,❌ Nog doen,⏸ 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36"/>
  </cols>
  <sheetData>
    <row r="1" customFormat="false" ht="31.5" hidden="false" customHeight="true" outlineLevel="0" collapsed="false">
      <c r="A1" s="34" t="s">
        <v>189</v>
      </c>
      <c r="B1" s="34"/>
      <c r="C1" s="34"/>
      <c r="D1" s="34"/>
      <c r="E1" s="34"/>
      <c r="F1" s="34"/>
      <c r="G1" s="34"/>
      <c r="H1" s="34"/>
      <c r="I1" s="34"/>
    </row>
    <row r="2" customFormat="false" ht="18" hidden="false" customHeight="true" outlineLevel="0" collapsed="false">
      <c r="A2" s="35" t="s">
        <v>190</v>
      </c>
      <c r="B2" s="35"/>
      <c r="C2" s="35"/>
      <c r="D2" s="35"/>
      <c r="E2" s="35"/>
      <c r="F2" s="35"/>
      <c r="G2" s="35"/>
      <c r="H2" s="35"/>
      <c r="I2" s="35"/>
    </row>
    <row r="3" customFormat="false" ht="18" hidden="false" customHeight="true" outlineLevel="0" collapsed="false">
      <c r="A3" s="3" t="s">
        <v>191</v>
      </c>
      <c r="B3" s="3"/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36" t="s">
        <v>192</v>
      </c>
      <c r="B4" s="36" t="s">
        <v>4</v>
      </c>
      <c r="C4" s="36" t="s">
        <v>5</v>
      </c>
      <c r="D4" s="36" t="s">
        <v>193</v>
      </c>
      <c r="E4" s="36" t="s">
        <v>194</v>
      </c>
      <c r="F4" s="36" t="s">
        <v>6</v>
      </c>
      <c r="G4" s="36" t="s">
        <v>195</v>
      </c>
      <c r="H4" s="36" t="s">
        <v>196</v>
      </c>
      <c r="I4" s="36" t="s">
        <v>197</v>
      </c>
    </row>
    <row r="5" customFormat="false" ht="19.5" hidden="false" customHeight="true" outlineLevel="0" collapsed="false">
      <c r="A5" s="37" t="s">
        <v>198</v>
      </c>
      <c r="B5" s="37"/>
      <c r="C5" s="37"/>
      <c r="D5" s="37"/>
      <c r="E5" s="37"/>
      <c r="F5" s="37"/>
      <c r="G5" s="37"/>
      <c r="H5" s="37"/>
      <c r="I5" s="37"/>
    </row>
    <row r="6" customFormat="false" ht="18" hidden="false" customHeight="true" outlineLevel="0" collapsed="false">
      <c r="A6" s="38" t="s">
        <v>199</v>
      </c>
      <c r="B6" s="25" t="s">
        <v>200</v>
      </c>
      <c r="C6" s="24" t="s">
        <v>15</v>
      </c>
      <c r="D6" s="39" t="n">
        <v>3</v>
      </c>
      <c r="E6" s="25"/>
      <c r="F6" s="17" t="s">
        <v>25</v>
      </c>
      <c r="G6" s="25"/>
      <c r="H6" s="28"/>
      <c r="I6" s="28" t="s">
        <v>201</v>
      </c>
    </row>
    <row r="7" customFormat="false" ht="18" hidden="false" customHeight="true" outlineLevel="0" collapsed="false">
      <c r="A7" s="40" t="s">
        <v>202</v>
      </c>
      <c r="B7" s="41" t="s">
        <v>203</v>
      </c>
      <c r="C7" s="42" t="s">
        <v>15</v>
      </c>
      <c r="D7" s="43" t="n">
        <v>1</v>
      </c>
      <c r="E7" s="41"/>
      <c r="F7" s="17" t="s">
        <v>25</v>
      </c>
      <c r="G7" s="41"/>
      <c r="H7" s="44"/>
      <c r="I7" s="44" t="s">
        <v>204</v>
      </c>
    </row>
    <row r="8" customFormat="false" ht="18" hidden="false" customHeight="true" outlineLevel="0" collapsed="false">
      <c r="A8" s="38" t="s">
        <v>205</v>
      </c>
      <c r="B8" s="25" t="s">
        <v>206</v>
      </c>
      <c r="C8" s="24" t="s">
        <v>15</v>
      </c>
      <c r="D8" s="39" t="n">
        <v>3</v>
      </c>
      <c r="E8" s="25"/>
      <c r="F8" s="17" t="s">
        <v>25</v>
      </c>
      <c r="G8" s="25"/>
      <c r="H8" s="28"/>
      <c r="I8" s="28" t="s">
        <v>207</v>
      </c>
    </row>
    <row r="9" customFormat="false" ht="18" hidden="false" customHeight="true" outlineLevel="0" collapsed="false">
      <c r="A9" s="40" t="s">
        <v>208</v>
      </c>
      <c r="B9" s="41" t="s">
        <v>209</v>
      </c>
      <c r="C9" s="42" t="s">
        <v>15</v>
      </c>
      <c r="D9" s="39" t="n">
        <v>3</v>
      </c>
      <c r="E9" s="41"/>
      <c r="F9" s="17" t="s">
        <v>25</v>
      </c>
      <c r="G9" s="41"/>
      <c r="H9" s="44"/>
      <c r="I9" s="44" t="s">
        <v>210</v>
      </c>
    </row>
    <row r="10" customFormat="false" ht="18" hidden="false" customHeight="true" outlineLevel="0" collapsed="false">
      <c r="A10" s="38" t="s">
        <v>211</v>
      </c>
      <c r="B10" s="25" t="s">
        <v>212</v>
      </c>
      <c r="C10" s="24" t="s">
        <v>15</v>
      </c>
      <c r="D10" s="45" t="n">
        <v>2</v>
      </c>
      <c r="E10" s="25"/>
      <c r="F10" s="17" t="s">
        <v>25</v>
      </c>
      <c r="G10" s="25"/>
      <c r="H10" s="28"/>
      <c r="I10" s="28" t="s">
        <v>213</v>
      </c>
    </row>
    <row r="11" customFormat="false" ht="18" hidden="false" customHeight="true" outlineLevel="0" collapsed="false">
      <c r="A11" s="40" t="s">
        <v>214</v>
      </c>
      <c r="B11" s="41" t="s">
        <v>215</v>
      </c>
      <c r="C11" s="42" t="s">
        <v>15</v>
      </c>
      <c r="D11" s="43" t="n">
        <v>1</v>
      </c>
      <c r="E11" s="41"/>
      <c r="F11" s="17" t="s">
        <v>25</v>
      </c>
      <c r="G11" s="41"/>
      <c r="H11" s="44"/>
      <c r="I11" s="44" t="s">
        <v>216</v>
      </c>
    </row>
    <row r="12" customFormat="false" ht="18" hidden="false" customHeight="true" outlineLevel="0" collapsed="false">
      <c r="A12" s="38" t="s">
        <v>217</v>
      </c>
      <c r="B12" s="25" t="s">
        <v>218</v>
      </c>
      <c r="C12" s="24" t="s">
        <v>15</v>
      </c>
      <c r="D12" s="39" t="n">
        <v>3</v>
      </c>
      <c r="E12" s="25"/>
      <c r="F12" s="17" t="s">
        <v>25</v>
      </c>
      <c r="G12" s="25"/>
      <c r="H12" s="28"/>
      <c r="I12" s="28" t="s">
        <v>219</v>
      </c>
    </row>
    <row r="13" customFormat="false" ht="18" hidden="false" customHeight="true" outlineLevel="0" collapsed="false">
      <c r="A13" s="40" t="s">
        <v>220</v>
      </c>
      <c r="B13" s="41" t="s">
        <v>221</v>
      </c>
      <c r="C13" s="42" t="s">
        <v>15</v>
      </c>
      <c r="D13" s="45" t="n">
        <v>2</v>
      </c>
      <c r="E13" s="41"/>
      <c r="F13" s="17" t="s">
        <v>25</v>
      </c>
      <c r="G13" s="41"/>
      <c r="H13" s="44"/>
      <c r="I13" s="44" t="s">
        <v>222</v>
      </c>
    </row>
    <row r="14" customFormat="false" ht="18" hidden="false" customHeight="true" outlineLevel="0" collapsed="false">
      <c r="A14" s="38" t="s">
        <v>74</v>
      </c>
      <c r="B14" s="25" t="s">
        <v>223</v>
      </c>
      <c r="C14" s="24" t="s">
        <v>15</v>
      </c>
      <c r="D14" s="43" t="n">
        <v>1</v>
      </c>
      <c r="E14" s="25"/>
      <c r="F14" s="17" t="s">
        <v>25</v>
      </c>
      <c r="G14" s="25"/>
      <c r="H14" s="28"/>
      <c r="I14" s="28" t="s">
        <v>224</v>
      </c>
    </row>
    <row r="15" customFormat="false" ht="18" hidden="false" customHeight="true" outlineLevel="0" collapsed="false">
      <c r="A15" s="40" t="s">
        <v>225</v>
      </c>
      <c r="B15" s="41" t="s">
        <v>226</v>
      </c>
      <c r="C15" s="42" t="s">
        <v>15</v>
      </c>
      <c r="D15" s="45" t="n">
        <v>2</v>
      </c>
      <c r="E15" s="41"/>
      <c r="F15" s="17" t="s">
        <v>25</v>
      </c>
      <c r="G15" s="41"/>
      <c r="H15" s="44"/>
      <c r="I15" s="44" t="s">
        <v>227</v>
      </c>
    </row>
    <row r="16" customFormat="false" ht="19.5" hidden="false" customHeight="true" outlineLevel="0" collapsed="false">
      <c r="A16" s="37" t="s">
        <v>228</v>
      </c>
      <c r="B16" s="37"/>
      <c r="C16" s="37"/>
      <c r="D16" s="37"/>
      <c r="E16" s="37"/>
      <c r="F16" s="37"/>
      <c r="G16" s="37"/>
      <c r="H16" s="37"/>
      <c r="I16" s="37"/>
    </row>
    <row r="17" customFormat="false" ht="18" hidden="false" customHeight="true" outlineLevel="0" collapsed="false">
      <c r="A17" s="38" t="s">
        <v>229</v>
      </c>
      <c r="B17" s="25" t="s">
        <v>230</v>
      </c>
      <c r="C17" s="24" t="s">
        <v>231</v>
      </c>
      <c r="D17" s="39" t="n">
        <v>3</v>
      </c>
      <c r="E17" s="25"/>
      <c r="F17" s="17" t="s">
        <v>25</v>
      </c>
      <c r="G17" s="25"/>
      <c r="H17" s="28"/>
      <c r="I17" s="28" t="s">
        <v>232</v>
      </c>
    </row>
    <row r="18" customFormat="false" ht="18" hidden="false" customHeight="true" outlineLevel="0" collapsed="false">
      <c r="A18" s="40" t="s">
        <v>233</v>
      </c>
      <c r="B18" s="41" t="s">
        <v>234</v>
      </c>
      <c r="C18" s="42" t="s">
        <v>231</v>
      </c>
      <c r="D18" s="43" t="n">
        <v>1</v>
      </c>
      <c r="E18" s="41"/>
      <c r="F18" s="17" t="s">
        <v>25</v>
      </c>
      <c r="G18" s="41"/>
      <c r="H18" s="44"/>
      <c r="I18" s="44" t="s">
        <v>235</v>
      </c>
    </row>
    <row r="19" customFormat="false" ht="18" hidden="false" customHeight="true" outlineLevel="0" collapsed="false">
      <c r="A19" s="38" t="s">
        <v>236</v>
      </c>
      <c r="B19" s="25" t="s">
        <v>237</v>
      </c>
      <c r="C19" s="24" t="s">
        <v>231</v>
      </c>
      <c r="D19" s="43" t="n">
        <v>1</v>
      </c>
      <c r="E19" s="25"/>
      <c r="F19" s="17" t="s">
        <v>25</v>
      </c>
      <c r="G19" s="25"/>
      <c r="H19" s="28"/>
      <c r="I19" s="28" t="s">
        <v>238</v>
      </c>
    </row>
    <row r="20" customFormat="false" ht="18" hidden="false" customHeight="true" outlineLevel="0" collapsed="false">
      <c r="A20" s="40" t="s">
        <v>239</v>
      </c>
      <c r="B20" s="41" t="s">
        <v>240</v>
      </c>
      <c r="C20" s="42" t="s">
        <v>231</v>
      </c>
      <c r="D20" s="43" t="n">
        <v>1</v>
      </c>
      <c r="E20" s="41"/>
      <c r="F20" s="17" t="s">
        <v>25</v>
      </c>
      <c r="G20" s="41"/>
      <c r="H20" s="44"/>
      <c r="I20" s="44" t="s">
        <v>241</v>
      </c>
    </row>
    <row r="21" customFormat="false" ht="18" hidden="false" customHeight="true" outlineLevel="0" collapsed="false">
      <c r="A21" s="38" t="s">
        <v>242</v>
      </c>
      <c r="B21" s="25" t="s">
        <v>243</v>
      </c>
      <c r="C21" s="24" t="s">
        <v>231</v>
      </c>
      <c r="D21" s="39" t="n">
        <v>3</v>
      </c>
      <c r="E21" s="25"/>
      <c r="F21" s="17" t="s">
        <v>25</v>
      </c>
      <c r="G21" s="25"/>
      <c r="H21" s="28"/>
      <c r="I21" s="28" t="s">
        <v>244</v>
      </c>
    </row>
    <row r="22" customFormat="false" ht="18" hidden="false" customHeight="true" outlineLevel="0" collapsed="false">
      <c r="A22" s="40" t="s">
        <v>245</v>
      </c>
      <c r="B22" s="41" t="s">
        <v>246</v>
      </c>
      <c r="C22" s="42" t="s">
        <v>231</v>
      </c>
      <c r="D22" s="43" t="n">
        <v>1</v>
      </c>
      <c r="E22" s="41"/>
      <c r="F22" s="17" t="s">
        <v>25</v>
      </c>
      <c r="G22" s="41"/>
      <c r="H22" s="44"/>
      <c r="I22" s="44" t="s">
        <v>247</v>
      </c>
    </row>
    <row r="23" customFormat="false" ht="18" hidden="false" customHeight="true" outlineLevel="0" collapsed="false">
      <c r="A23" s="38" t="s">
        <v>248</v>
      </c>
      <c r="B23" s="25" t="s">
        <v>249</v>
      </c>
      <c r="C23" s="24" t="s">
        <v>231</v>
      </c>
      <c r="D23" s="43" t="n">
        <v>1</v>
      </c>
      <c r="E23" s="25"/>
      <c r="F23" s="17" t="s">
        <v>25</v>
      </c>
      <c r="G23" s="25"/>
      <c r="H23" s="28"/>
      <c r="I23" s="28" t="s">
        <v>250</v>
      </c>
    </row>
    <row r="24" customFormat="false" ht="18" hidden="false" customHeight="true" outlineLevel="0" collapsed="false">
      <c r="A24" s="40" t="s">
        <v>251</v>
      </c>
      <c r="B24" s="41" t="s">
        <v>252</v>
      </c>
      <c r="C24" s="42" t="s">
        <v>231</v>
      </c>
      <c r="D24" s="43" t="n">
        <v>1</v>
      </c>
      <c r="E24" s="41"/>
      <c r="F24" s="17" t="s">
        <v>25</v>
      </c>
      <c r="G24" s="41"/>
      <c r="H24" s="44"/>
      <c r="I24" s="44" t="s">
        <v>253</v>
      </c>
    </row>
    <row r="25" customFormat="false" ht="18" hidden="false" customHeight="true" outlineLevel="0" collapsed="false">
      <c r="A25" s="38" t="s">
        <v>254</v>
      </c>
      <c r="B25" s="25" t="s">
        <v>255</v>
      </c>
      <c r="C25" s="24" t="s">
        <v>231</v>
      </c>
      <c r="D25" s="43" t="n">
        <v>1</v>
      </c>
      <c r="E25" s="25"/>
      <c r="F25" s="17" t="s">
        <v>25</v>
      </c>
      <c r="G25" s="25"/>
      <c r="H25" s="28"/>
      <c r="I25" s="28" t="s">
        <v>256</v>
      </c>
    </row>
    <row r="26" customFormat="false" ht="19.5" hidden="false" customHeight="true" outlineLevel="0" collapsed="false">
      <c r="A26" s="37" t="s">
        <v>257</v>
      </c>
      <c r="B26" s="37"/>
      <c r="C26" s="37"/>
      <c r="D26" s="37"/>
      <c r="E26" s="37"/>
      <c r="F26" s="37"/>
      <c r="G26" s="37"/>
      <c r="H26" s="37"/>
      <c r="I26" s="37"/>
    </row>
    <row r="27" customFormat="false" ht="18" hidden="false" customHeight="true" outlineLevel="0" collapsed="false">
      <c r="A27" s="38" t="s">
        <v>258</v>
      </c>
      <c r="B27" s="25" t="s">
        <v>259</v>
      </c>
      <c r="C27" s="24" t="s">
        <v>97</v>
      </c>
      <c r="D27" s="45" t="n">
        <v>2</v>
      </c>
      <c r="E27" s="25"/>
      <c r="F27" s="17" t="s">
        <v>25</v>
      </c>
      <c r="G27" s="25"/>
      <c r="H27" s="28"/>
      <c r="I27" s="28" t="s">
        <v>260</v>
      </c>
    </row>
    <row r="28" customFormat="false" ht="18" hidden="false" customHeight="true" outlineLevel="0" collapsed="false">
      <c r="A28" s="40" t="s">
        <v>261</v>
      </c>
      <c r="B28" s="41" t="s">
        <v>262</v>
      </c>
      <c r="C28" s="42" t="s">
        <v>97</v>
      </c>
      <c r="D28" s="43" t="n">
        <v>1</v>
      </c>
      <c r="E28" s="41"/>
      <c r="F28" s="17" t="s">
        <v>25</v>
      </c>
      <c r="G28" s="41"/>
      <c r="H28" s="44"/>
      <c r="I28" s="44" t="s">
        <v>263</v>
      </c>
    </row>
    <row r="29" customFormat="false" ht="18" hidden="false" customHeight="true" outlineLevel="0" collapsed="false">
      <c r="A29" s="38" t="s">
        <v>264</v>
      </c>
      <c r="B29" s="25" t="s">
        <v>265</v>
      </c>
      <c r="C29" s="24" t="s">
        <v>97</v>
      </c>
      <c r="D29" s="43" t="n">
        <v>1</v>
      </c>
      <c r="E29" s="25"/>
      <c r="F29" s="17" t="s">
        <v>25</v>
      </c>
      <c r="G29" s="25"/>
      <c r="H29" s="28"/>
      <c r="I29" s="28" t="s">
        <v>266</v>
      </c>
    </row>
    <row r="30" customFormat="false" ht="18" hidden="false" customHeight="true" outlineLevel="0" collapsed="false">
      <c r="A30" s="40" t="s">
        <v>267</v>
      </c>
      <c r="B30" s="41" t="s">
        <v>268</v>
      </c>
      <c r="C30" s="42" t="s">
        <v>97</v>
      </c>
      <c r="D30" s="43" t="n">
        <v>1</v>
      </c>
      <c r="E30" s="41"/>
      <c r="F30" s="17" t="s">
        <v>25</v>
      </c>
      <c r="G30" s="41"/>
      <c r="H30" s="44"/>
      <c r="I30" s="44" t="s">
        <v>269</v>
      </c>
    </row>
    <row r="31" customFormat="false" ht="18" hidden="false" customHeight="true" outlineLevel="0" collapsed="false">
      <c r="A31" s="38" t="s">
        <v>270</v>
      </c>
      <c r="B31" s="25" t="s">
        <v>271</v>
      </c>
      <c r="C31" s="24" t="s">
        <v>97</v>
      </c>
      <c r="D31" s="43" t="n">
        <v>1</v>
      </c>
      <c r="E31" s="25"/>
      <c r="F31" s="17" t="s">
        <v>25</v>
      </c>
      <c r="G31" s="25"/>
      <c r="H31" s="28"/>
      <c r="I31" s="28" t="s">
        <v>272</v>
      </c>
    </row>
    <row r="32" customFormat="false" ht="19.5" hidden="false" customHeight="true" outlineLevel="0" collapsed="false">
      <c r="A32" s="37" t="s">
        <v>273</v>
      </c>
      <c r="B32" s="37"/>
      <c r="C32" s="37"/>
      <c r="D32" s="37"/>
      <c r="E32" s="37"/>
      <c r="F32" s="37"/>
      <c r="G32" s="37"/>
      <c r="H32" s="37"/>
      <c r="I32" s="37"/>
    </row>
    <row r="33" customFormat="false" ht="18" hidden="false" customHeight="true" outlineLevel="0" collapsed="false">
      <c r="A33" s="38" t="s">
        <v>274</v>
      </c>
      <c r="B33" s="25" t="s">
        <v>275</v>
      </c>
      <c r="C33" s="24" t="s">
        <v>276</v>
      </c>
      <c r="D33" s="43" t="n">
        <v>1</v>
      </c>
      <c r="E33" s="25"/>
      <c r="F33" s="17" t="s">
        <v>25</v>
      </c>
      <c r="G33" s="25"/>
      <c r="H33" s="28"/>
      <c r="I33" s="28" t="s">
        <v>277</v>
      </c>
    </row>
    <row r="34" customFormat="false" ht="18" hidden="false" customHeight="true" outlineLevel="0" collapsed="false">
      <c r="A34" s="40" t="s">
        <v>278</v>
      </c>
      <c r="B34" s="41" t="s">
        <v>279</v>
      </c>
      <c r="C34" s="42" t="s">
        <v>276</v>
      </c>
      <c r="D34" s="43" t="n">
        <v>1</v>
      </c>
      <c r="E34" s="41"/>
      <c r="F34" s="17" t="s">
        <v>25</v>
      </c>
      <c r="G34" s="41"/>
      <c r="H34" s="44"/>
      <c r="I34" s="44" t="s">
        <v>280</v>
      </c>
    </row>
    <row r="35" customFormat="false" ht="18" hidden="false" customHeight="true" outlineLevel="0" collapsed="false">
      <c r="A35" s="38" t="s">
        <v>281</v>
      </c>
      <c r="B35" s="25" t="s">
        <v>282</v>
      </c>
      <c r="C35" s="24" t="s">
        <v>276</v>
      </c>
      <c r="D35" s="43" t="n">
        <v>1</v>
      </c>
      <c r="E35" s="25"/>
      <c r="F35" s="17" t="s">
        <v>25</v>
      </c>
      <c r="G35" s="25"/>
      <c r="H35" s="28"/>
      <c r="I35" s="28" t="s">
        <v>283</v>
      </c>
    </row>
    <row r="36" customFormat="false" ht="18" hidden="false" customHeight="true" outlineLevel="0" collapsed="false">
      <c r="A36" s="40" t="s">
        <v>284</v>
      </c>
      <c r="B36" s="41" t="s">
        <v>285</v>
      </c>
      <c r="C36" s="42" t="s">
        <v>276</v>
      </c>
      <c r="D36" s="43" t="n">
        <v>1</v>
      </c>
      <c r="E36" s="41"/>
      <c r="F36" s="17" t="s">
        <v>25</v>
      </c>
      <c r="G36" s="41"/>
      <c r="H36" s="44"/>
      <c r="I36" s="44" t="s">
        <v>286</v>
      </c>
    </row>
    <row r="37" customFormat="false" ht="18" hidden="false" customHeight="true" outlineLevel="0" collapsed="false">
      <c r="A37" s="38" t="s">
        <v>287</v>
      </c>
      <c r="B37" s="25" t="s">
        <v>288</v>
      </c>
      <c r="C37" s="24" t="s">
        <v>276</v>
      </c>
      <c r="D37" s="43" t="n">
        <v>1</v>
      </c>
      <c r="E37" s="25"/>
      <c r="F37" s="17" t="s">
        <v>25</v>
      </c>
      <c r="G37" s="25"/>
      <c r="H37" s="28"/>
      <c r="I37" s="28" t="s">
        <v>289</v>
      </c>
    </row>
    <row r="39" customFormat="false" ht="21.75" hidden="false" customHeight="true" outlineLevel="0" collapsed="false">
      <c r="A39" s="46" t="s">
        <v>290</v>
      </c>
      <c r="B39" s="46"/>
      <c r="C39" s="46"/>
      <c r="D39" s="46"/>
      <c r="E39" s="46"/>
      <c r="F39" s="46"/>
      <c r="G39" s="46"/>
      <c r="H39" s="46"/>
      <c r="I39" s="46"/>
    </row>
  </sheetData>
  <mergeCells count="8">
    <mergeCell ref="A1:I1"/>
    <mergeCell ref="A2:I2"/>
    <mergeCell ref="A3:I3"/>
    <mergeCell ref="A5:I5"/>
    <mergeCell ref="A16:I16"/>
    <mergeCell ref="A26:I26"/>
    <mergeCell ref="A32:I32"/>
    <mergeCell ref="A39:I39"/>
  </mergeCells>
  <dataValidations count="1">
    <dataValidation allowBlank="false" errorStyle="stop" operator="between" showDropDown="false" showErrorMessage="false" showInputMessage="false" sqref="F6:F15 F17:F25 F27:F31 F33:F37" type="list">
      <formula1>"✅ Klaar,🔄 Bezig,❌ Nog doen,⏸ 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6" min="4" style="0" width="16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47" t="s">
        <v>291</v>
      </c>
      <c r="B1" s="47"/>
      <c r="C1" s="47"/>
      <c r="D1" s="47"/>
      <c r="E1" s="47"/>
      <c r="F1" s="47"/>
      <c r="G1" s="47"/>
    </row>
    <row r="2" customFormat="false" ht="18" hidden="false" customHeight="true" outlineLevel="0" collapsed="false">
      <c r="A2" s="48" t="s">
        <v>292</v>
      </c>
      <c r="B2" s="48"/>
      <c r="C2" s="48"/>
      <c r="D2" s="48"/>
      <c r="E2" s="48"/>
      <c r="F2" s="48"/>
      <c r="G2" s="48"/>
    </row>
    <row r="3" customFormat="false" ht="25.5" hidden="false" customHeight="true" outlineLevel="0" collapsed="false">
      <c r="A3" s="49" t="s">
        <v>293</v>
      </c>
      <c r="B3" s="49" t="s">
        <v>294</v>
      </c>
      <c r="C3" s="49" t="s">
        <v>5</v>
      </c>
      <c r="D3" s="49" t="s">
        <v>295</v>
      </c>
      <c r="E3" s="49" t="s">
        <v>296</v>
      </c>
      <c r="F3" s="49" t="s">
        <v>297</v>
      </c>
      <c r="G3" s="49" t="s">
        <v>298</v>
      </c>
    </row>
    <row r="4" customFormat="false" ht="21.75" hidden="false" customHeight="true" outlineLevel="0" collapsed="false">
      <c r="A4" s="50" t="s">
        <v>299</v>
      </c>
      <c r="B4" s="25"/>
      <c r="C4" s="27"/>
      <c r="D4" s="51" t="n">
        <v>0</v>
      </c>
      <c r="E4" s="17" t="s">
        <v>25</v>
      </c>
      <c r="F4" s="25"/>
      <c r="G4" s="9" t="str">
        <f aca="false">IF(D4&gt;=8,"✅ Boven niveau","❌ "&amp;(8-D4)&amp;" punten tekort")</f>
        <v>❌ 8 punten tekort</v>
      </c>
    </row>
    <row r="5" customFormat="false" ht="21.75" hidden="false" customHeight="true" outlineLevel="0" collapsed="false">
      <c r="A5" s="52" t="s">
        <v>300</v>
      </c>
      <c r="B5" s="18"/>
      <c r="C5" s="20"/>
      <c r="D5" s="53" t="n">
        <v>0</v>
      </c>
      <c r="E5" s="17" t="s">
        <v>25</v>
      </c>
      <c r="F5" s="18"/>
      <c r="G5" s="9" t="str">
        <f aca="false">IF(D5&gt;=8,"✅ Boven niveau","❌ "&amp;(8-D5)&amp;" punten tekort")</f>
        <v>❌ 8 punten tekort</v>
      </c>
    </row>
    <row r="6" customFormat="false" ht="21.75" hidden="false" customHeight="true" outlineLevel="0" collapsed="false">
      <c r="A6" s="50" t="s">
        <v>301</v>
      </c>
      <c r="B6" s="25"/>
      <c r="C6" s="27"/>
      <c r="D6" s="51" t="n">
        <v>0</v>
      </c>
      <c r="E6" s="17" t="s">
        <v>25</v>
      </c>
      <c r="F6" s="25"/>
      <c r="G6" s="9" t="str">
        <f aca="false">IF(D6&gt;=8,"✅ Boven niveau","❌ "&amp;(8-D6)&amp;" punten tekort")</f>
        <v>❌ 8 punten tekort</v>
      </c>
    </row>
    <row r="7" customFormat="false" ht="21.75" hidden="false" customHeight="true" outlineLevel="0" collapsed="false">
      <c r="A7" s="52" t="s">
        <v>302</v>
      </c>
      <c r="B7" s="18"/>
      <c r="C7" s="20"/>
      <c r="D7" s="53" t="n">
        <v>0</v>
      </c>
      <c r="E7" s="17" t="s">
        <v>25</v>
      </c>
      <c r="F7" s="18"/>
      <c r="G7" s="9" t="str">
        <f aca="false">IF(D7&gt;=8,"✅ Boven niveau","❌ "&amp;(8-D7)&amp;" punten tekort")</f>
        <v>❌ 8 punten tekort</v>
      </c>
    </row>
    <row r="8" customFormat="false" ht="21.75" hidden="false" customHeight="true" outlineLevel="0" collapsed="false">
      <c r="A8" s="50" t="s">
        <v>303</v>
      </c>
      <c r="B8" s="25"/>
      <c r="C8" s="27"/>
      <c r="D8" s="51" t="n">
        <v>0</v>
      </c>
      <c r="E8" s="17" t="s">
        <v>25</v>
      </c>
      <c r="F8" s="25"/>
      <c r="G8" s="9" t="str">
        <f aca="false">IF(D8&gt;=8,"✅ Boven niveau","❌ "&amp;(8-D8)&amp;" punten tekort")</f>
        <v>❌ 8 punten tekort</v>
      </c>
    </row>
    <row r="9" customFormat="false" ht="21.75" hidden="false" customHeight="true" outlineLevel="0" collapsed="false">
      <c r="A9" s="52" t="s">
        <v>304</v>
      </c>
      <c r="B9" s="18"/>
      <c r="C9" s="20"/>
      <c r="D9" s="53" t="n">
        <v>0</v>
      </c>
      <c r="E9" s="17" t="s">
        <v>25</v>
      </c>
      <c r="F9" s="18"/>
      <c r="G9" s="9" t="str">
        <f aca="false">IF(D9&gt;=8,"✅ Boven niveau","❌ "&amp;(8-D9)&amp;" punten tekort")</f>
        <v>❌ 8 punten tekort</v>
      </c>
    </row>
    <row r="11" customFormat="false" ht="39.75" hidden="false" customHeight="true" outlineLevel="0" collapsed="false">
      <c r="A11" s="54" t="s">
        <v>305</v>
      </c>
      <c r="B11" s="54"/>
      <c r="C11" s="54"/>
      <c r="D11" s="54"/>
      <c r="E11" s="54"/>
      <c r="F11" s="54"/>
      <c r="G11" s="54"/>
    </row>
    <row r="13" customFormat="false" ht="21.75" hidden="false" customHeight="true" outlineLevel="0" collapsed="false">
      <c r="A13" s="55" t="s">
        <v>306</v>
      </c>
      <c r="B13" s="55"/>
      <c r="C13" s="55"/>
      <c r="D13" s="55"/>
      <c r="E13" s="55"/>
      <c r="F13" s="55"/>
      <c r="G13" s="55"/>
    </row>
    <row r="14" customFormat="false" ht="24" hidden="false" customHeight="true" outlineLevel="0" collapsed="false">
      <c r="A14" s="4" t="s">
        <v>5</v>
      </c>
      <c r="B14" s="4" t="s">
        <v>307</v>
      </c>
      <c r="C14" s="4" t="s">
        <v>308</v>
      </c>
      <c r="D14" s="4" t="s">
        <v>309</v>
      </c>
      <c r="E14" s="4" t="s">
        <v>310</v>
      </c>
      <c r="F14" s="4" t="s">
        <v>311</v>
      </c>
      <c r="G14" s="4" t="s">
        <v>312</v>
      </c>
    </row>
    <row r="15" customFormat="false" ht="18" hidden="false" customHeight="true" outlineLevel="0" collapsed="false">
      <c r="A15" s="25" t="s">
        <v>15</v>
      </c>
      <c r="B15" s="56" t="n">
        <v>10</v>
      </c>
      <c r="C15" s="56" t="n">
        <v>22</v>
      </c>
      <c r="D15" s="56" t="n">
        <v>5</v>
      </c>
      <c r="E15" s="56" t="n">
        <v>2</v>
      </c>
      <c r="F15" s="56" t="n">
        <v>3</v>
      </c>
      <c r="G15" s="25" t="s">
        <v>313</v>
      </c>
    </row>
    <row r="16" customFormat="false" ht="18" hidden="false" customHeight="true" outlineLevel="0" collapsed="false">
      <c r="A16" s="57" t="s">
        <v>231</v>
      </c>
      <c r="B16" s="58" t="n">
        <v>9</v>
      </c>
      <c r="C16" s="58" t="n">
        <v>14</v>
      </c>
      <c r="D16" s="58" t="n">
        <v>7</v>
      </c>
      <c r="E16" s="58" t="n">
        <v>0</v>
      </c>
      <c r="F16" s="58" t="n">
        <v>2</v>
      </c>
      <c r="G16" s="57" t="s">
        <v>314</v>
      </c>
    </row>
    <row r="17" customFormat="false" ht="18" hidden="false" customHeight="true" outlineLevel="0" collapsed="false">
      <c r="A17" s="25" t="s">
        <v>97</v>
      </c>
      <c r="B17" s="56" t="n">
        <v>5</v>
      </c>
      <c r="C17" s="56" t="n">
        <v>6</v>
      </c>
      <c r="D17" s="56" t="n">
        <v>3</v>
      </c>
      <c r="E17" s="56" t="n">
        <v>1</v>
      </c>
      <c r="F17" s="56" t="n">
        <v>1</v>
      </c>
      <c r="G17" s="25" t="s">
        <v>315</v>
      </c>
    </row>
    <row r="18" customFormat="false" ht="18" hidden="false" customHeight="true" outlineLevel="0" collapsed="false">
      <c r="A18" s="57" t="s">
        <v>276</v>
      </c>
      <c r="B18" s="58" t="n">
        <v>5</v>
      </c>
      <c r="C18" s="58" t="n">
        <v>5</v>
      </c>
      <c r="D18" s="58" t="n">
        <v>5</v>
      </c>
      <c r="E18" s="58" t="n">
        <v>0</v>
      </c>
      <c r="F18" s="58" t="n">
        <v>0</v>
      </c>
      <c r="G18" s="57" t="s">
        <v>316</v>
      </c>
    </row>
    <row r="19" customFormat="false" ht="18" hidden="false" customHeight="true" outlineLevel="0" collapsed="false">
      <c r="A19" s="59" t="s">
        <v>317</v>
      </c>
      <c r="B19" s="60" t="n">
        <v>29</v>
      </c>
      <c r="C19" s="60" t="n">
        <v>47</v>
      </c>
      <c r="D19" s="60" t="n">
        <v>20</v>
      </c>
      <c r="E19" s="60" t="n">
        <v>3</v>
      </c>
      <c r="F19" s="60" t="n">
        <v>6</v>
      </c>
      <c r="G19" s="59" t="s">
        <v>318</v>
      </c>
    </row>
  </sheetData>
  <mergeCells count="4">
    <mergeCell ref="A1:G1"/>
    <mergeCell ref="A2:G2"/>
    <mergeCell ref="A11:G1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6" min="5" style="0" width="22"/>
    <col collapsed="false" customWidth="true" hidden="false" outlineLevel="0" max="7" min="7" style="0" width="8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319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4" t="s">
        <v>320</v>
      </c>
      <c r="B2" s="4" t="s">
        <v>321</v>
      </c>
      <c r="C2" s="4" t="s">
        <v>322</v>
      </c>
      <c r="D2" s="4" t="s">
        <v>323</v>
      </c>
      <c r="E2" s="4" t="s">
        <v>324</v>
      </c>
      <c r="F2" s="4" t="s">
        <v>325</v>
      </c>
      <c r="G2" s="4" t="s">
        <v>326</v>
      </c>
      <c r="H2" s="4" t="s">
        <v>197</v>
      </c>
    </row>
    <row r="3" customFormat="false" ht="18" hidden="false" customHeight="true" outlineLevel="0" collapsed="false">
      <c r="A3" s="61" t="s">
        <v>327</v>
      </c>
      <c r="B3" s="61"/>
      <c r="C3" s="61"/>
      <c r="D3" s="61"/>
      <c r="E3" s="61"/>
      <c r="F3" s="61"/>
      <c r="G3" s="61"/>
      <c r="H3" s="61"/>
    </row>
    <row r="4" customFormat="false" ht="15.75" hidden="false" customHeight="true" outlineLevel="0" collapsed="false">
      <c r="A4" s="15" t="s">
        <v>328</v>
      </c>
      <c r="B4" s="18" t="s">
        <v>329</v>
      </c>
      <c r="C4" s="19" t="s">
        <v>82</v>
      </c>
      <c r="D4" s="18" t="s">
        <v>330</v>
      </c>
      <c r="E4" s="62" t="s">
        <v>331</v>
      </c>
      <c r="F4" s="18" t="s">
        <v>332</v>
      </c>
      <c r="G4" s="18" t="s">
        <v>333</v>
      </c>
      <c r="H4" s="18" t="s">
        <v>334</v>
      </c>
    </row>
    <row r="5" customFormat="false" ht="15.75" hidden="false" customHeight="true" outlineLevel="0" collapsed="false">
      <c r="A5" s="23" t="s">
        <v>335</v>
      </c>
      <c r="B5" s="25" t="s">
        <v>336</v>
      </c>
      <c r="C5" s="26" t="s">
        <v>337</v>
      </c>
      <c r="D5" s="25" t="s">
        <v>338</v>
      </c>
      <c r="E5" s="63" t="s">
        <v>339</v>
      </c>
      <c r="F5" s="25" t="s">
        <v>332</v>
      </c>
      <c r="G5" s="25" t="s">
        <v>333</v>
      </c>
      <c r="H5" s="25" t="s">
        <v>340</v>
      </c>
    </row>
    <row r="6" customFormat="false" ht="15.75" hidden="false" customHeight="true" outlineLevel="0" collapsed="false">
      <c r="A6" s="15" t="s">
        <v>341</v>
      </c>
      <c r="B6" s="18" t="s">
        <v>342</v>
      </c>
      <c r="C6" s="19" t="s">
        <v>343</v>
      </c>
      <c r="D6" s="18" t="s">
        <v>338</v>
      </c>
      <c r="E6" s="62" t="s">
        <v>344</v>
      </c>
      <c r="F6" s="18" t="s">
        <v>332</v>
      </c>
      <c r="G6" s="18" t="s">
        <v>333</v>
      </c>
      <c r="H6" s="18" t="s">
        <v>345</v>
      </c>
    </row>
    <row r="7" customFormat="false" ht="15.75" hidden="false" customHeight="true" outlineLevel="0" collapsed="false">
      <c r="A7" s="23" t="s">
        <v>346</v>
      </c>
      <c r="B7" s="25" t="s">
        <v>347</v>
      </c>
      <c r="C7" s="26" t="s">
        <v>98</v>
      </c>
      <c r="D7" s="25" t="s">
        <v>330</v>
      </c>
      <c r="E7" s="63" t="s">
        <v>348</v>
      </c>
      <c r="F7" s="25" t="s">
        <v>332</v>
      </c>
      <c r="G7" s="25" t="s">
        <v>349</v>
      </c>
      <c r="H7" s="25" t="s">
        <v>334</v>
      </c>
    </row>
    <row r="8" customFormat="false" ht="15.75" hidden="false" customHeight="true" outlineLevel="0" collapsed="false">
      <c r="A8" s="15" t="s">
        <v>350</v>
      </c>
      <c r="B8" s="18" t="s">
        <v>351</v>
      </c>
      <c r="C8" s="19" t="s">
        <v>352</v>
      </c>
      <c r="D8" s="18" t="s">
        <v>338</v>
      </c>
      <c r="E8" s="62" t="s">
        <v>353</v>
      </c>
      <c r="F8" s="18" t="s">
        <v>332</v>
      </c>
      <c r="G8" s="18" t="s">
        <v>349</v>
      </c>
      <c r="H8" s="18" t="s">
        <v>340</v>
      </c>
    </row>
    <row r="9" customFormat="false" ht="15.75" hidden="false" customHeight="true" outlineLevel="0" collapsed="false">
      <c r="A9" s="23" t="s">
        <v>354</v>
      </c>
      <c r="B9" s="25" t="s">
        <v>355</v>
      </c>
      <c r="C9" s="26" t="s">
        <v>356</v>
      </c>
      <c r="D9" s="25" t="s">
        <v>338</v>
      </c>
      <c r="E9" s="63" t="s">
        <v>344</v>
      </c>
      <c r="F9" s="25" t="s">
        <v>332</v>
      </c>
      <c r="G9" s="25" t="s">
        <v>349</v>
      </c>
      <c r="H9" s="25" t="s">
        <v>357</v>
      </c>
    </row>
    <row r="10" customFormat="false" ht="15.75" hidden="false" customHeight="true" outlineLevel="0" collapsed="false">
      <c r="A10" s="15" t="s">
        <v>358</v>
      </c>
      <c r="B10" s="18" t="s">
        <v>359</v>
      </c>
      <c r="C10" s="19" t="s">
        <v>360</v>
      </c>
      <c r="D10" s="18" t="s">
        <v>338</v>
      </c>
      <c r="E10" s="62" t="s">
        <v>344</v>
      </c>
      <c r="F10" s="18" t="s">
        <v>32</v>
      </c>
      <c r="G10" s="18" t="s">
        <v>344</v>
      </c>
      <c r="H10" s="18" t="s">
        <v>361</v>
      </c>
    </row>
    <row r="11" customFormat="false" ht="15.75" hidden="false" customHeight="true" outlineLevel="0" collapsed="false">
      <c r="A11" s="23" t="s">
        <v>362</v>
      </c>
      <c r="B11" s="25" t="s">
        <v>363</v>
      </c>
      <c r="C11" s="26" t="s">
        <v>364</v>
      </c>
      <c r="D11" s="25" t="s">
        <v>338</v>
      </c>
      <c r="E11" s="63" t="s">
        <v>344</v>
      </c>
      <c r="F11" s="25" t="s">
        <v>344</v>
      </c>
      <c r="G11" s="25" t="s">
        <v>344</v>
      </c>
      <c r="H11" s="25" t="s">
        <v>365</v>
      </c>
    </row>
    <row r="12" customFormat="false" ht="18" hidden="false" customHeight="true" outlineLevel="0" collapsed="false">
      <c r="A12" s="61" t="s">
        <v>366</v>
      </c>
      <c r="B12" s="61"/>
      <c r="C12" s="61"/>
      <c r="D12" s="61"/>
      <c r="E12" s="61"/>
      <c r="F12" s="61"/>
      <c r="G12" s="61"/>
      <c r="H12" s="61"/>
    </row>
    <row r="13" customFormat="false" ht="15.75" hidden="false" customHeight="true" outlineLevel="0" collapsed="false">
      <c r="A13" s="23" t="s">
        <v>367</v>
      </c>
      <c r="B13" s="25" t="s">
        <v>368</v>
      </c>
      <c r="C13" s="26" t="s">
        <v>369</v>
      </c>
      <c r="D13" s="25" t="s">
        <v>330</v>
      </c>
      <c r="E13" s="63" t="s">
        <v>370</v>
      </c>
      <c r="F13" s="25" t="s">
        <v>54</v>
      </c>
      <c r="G13" s="25" t="s">
        <v>371</v>
      </c>
      <c r="H13" s="25" t="s">
        <v>372</v>
      </c>
    </row>
    <row r="14" customFormat="false" ht="15.75" hidden="false" customHeight="true" outlineLevel="0" collapsed="false">
      <c r="A14" s="15" t="s">
        <v>373</v>
      </c>
      <c r="B14" s="18" t="s">
        <v>374</v>
      </c>
      <c r="C14" s="19" t="s">
        <v>375</v>
      </c>
      <c r="D14" s="18" t="s">
        <v>338</v>
      </c>
      <c r="E14" s="62" t="s">
        <v>376</v>
      </c>
      <c r="F14" s="18" t="s">
        <v>54</v>
      </c>
      <c r="G14" s="18" t="s">
        <v>377</v>
      </c>
      <c r="H14" s="18" t="s">
        <v>378</v>
      </c>
    </row>
    <row r="15" customFormat="false" ht="15.75" hidden="false" customHeight="true" outlineLevel="0" collapsed="false">
      <c r="A15" s="23" t="s">
        <v>379</v>
      </c>
      <c r="B15" s="25" t="s">
        <v>380</v>
      </c>
      <c r="C15" s="26" t="s">
        <v>381</v>
      </c>
      <c r="D15" s="25" t="s">
        <v>338</v>
      </c>
      <c r="E15" s="63" t="s">
        <v>382</v>
      </c>
      <c r="F15" s="25" t="s">
        <v>54</v>
      </c>
      <c r="G15" s="25" t="s">
        <v>383</v>
      </c>
      <c r="H15" s="25" t="s">
        <v>384</v>
      </c>
    </row>
    <row r="16" customFormat="false" ht="18" hidden="false" customHeight="true" outlineLevel="0" collapsed="false">
      <c r="A16" s="61" t="s">
        <v>385</v>
      </c>
      <c r="B16" s="61"/>
      <c r="C16" s="61"/>
      <c r="D16" s="61"/>
      <c r="E16" s="61"/>
      <c r="F16" s="61"/>
      <c r="G16" s="61"/>
      <c r="H16" s="61"/>
    </row>
    <row r="17" customFormat="false" ht="15.75" hidden="false" customHeight="true" outlineLevel="0" collapsed="false">
      <c r="A17" s="23" t="s">
        <v>386</v>
      </c>
      <c r="B17" s="25" t="s">
        <v>387</v>
      </c>
      <c r="C17" s="26" t="s">
        <v>82</v>
      </c>
      <c r="D17" s="25" t="s">
        <v>330</v>
      </c>
      <c r="E17" s="63" t="s">
        <v>331</v>
      </c>
      <c r="F17" s="25" t="s">
        <v>388</v>
      </c>
      <c r="G17" s="25" t="s">
        <v>389</v>
      </c>
      <c r="H17" s="25" t="s">
        <v>390</v>
      </c>
    </row>
    <row r="18" customFormat="false" ht="15.75" hidden="false" customHeight="true" outlineLevel="0" collapsed="false">
      <c r="A18" s="15" t="s">
        <v>391</v>
      </c>
      <c r="B18" s="18" t="s">
        <v>392</v>
      </c>
      <c r="C18" s="19" t="s">
        <v>98</v>
      </c>
      <c r="D18" s="18" t="s">
        <v>330</v>
      </c>
      <c r="E18" s="62" t="s">
        <v>348</v>
      </c>
      <c r="F18" s="18" t="s">
        <v>393</v>
      </c>
      <c r="G18" s="18" t="s">
        <v>394</v>
      </c>
      <c r="H18" s="18" t="s">
        <v>395</v>
      </c>
    </row>
    <row r="19" customFormat="false" ht="15.75" hidden="false" customHeight="true" outlineLevel="0" collapsed="false">
      <c r="A19" s="23" t="s">
        <v>396</v>
      </c>
      <c r="B19" s="25" t="s">
        <v>397</v>
      </c>
      <c r="C19" s="26" t="s">
        <v>103</v>
      </c>
      <c r="D19" s="25" t="s">
        <v>330</v>
      </c>
      <c r="E19" s="63" t="s">
        <v>398</v>
      </c>
      <c r="F19" s="25" t="s">
        <v>399</v>
      </c>
      <c r="G19" s="25" t="s">
        <v>400</v>
      </c>
      <c r="H19" s="25" t="s">
        <v>401</v>
      </c>
    </row>
    <row r="20" customFormat="false" ht="15.75" hidden="false" customHeight="true" outlineLevel="0" collapsed="false">
      <c r="A20" s="15" t="s">
        <v>402</v>
      </c>
      <c r="B20" s="18" t="s">
        <v>403</v>
      </c>
      <c r="C20" s="19" t="s">
        <v>143</v>
      </c>
      <c r="D20" s="18" t="s">
        <v>330</v>
      </c>
      <c r="E20" s="62" t="s">
        <v>404</v>
      </c>
      <c r="F20" s="18" t="s">
        <v>388</v>
      </c>
      <c r="G20" s="18" t="s">
        <v>405</v>
      </c>
      <c r="H20" s="18" t="s">
        <v>406</v>
      </c>
    </row>
    <row r="21" customFormat="false" ht="15.75" hidden="false" customHeight="true" outlineLevel="0" collapsed="false">
      <c r="A21" s="23" t="s">
        <v>407</v>
      </c>
      <c r="B21" s="25" t="s">
        <v>408</v>
      </c>
      <c r="C21" s="26" t="s">
        <v>165</v>
      </c>
      <c r="D21" s="25" t="s">
        <v>330</v>
      </c>
      <c r="E21" s="63" t="s">
        <v>409</v>
      </c>
      <c r="F21" s="25" t="s">
        <v>388</v>
      </c>
      <c r="G21" s="25" t="s">
        <v>410</v>
      </c>
      <c r="H21" s="25" t="s">
        <v>411</v>
      </c>
    </row>
    <row r="22" customFormat="false" ht="15.75" hidden="false" customHeight="true" outlineLevel="0" collapsed="false">
      <c r="A22" s="15" t="s">
        <v>412</v>
      </c>
      <c r="B22" s="18" t="s">
        <v>413</v>
      </c>
      <c r="C22" s="19" t="s">
        <v>154</v>
      </c>
      <c r="D22" s="18" t="s">
        <v>330</v>
      </c>
      <c r="E22" s="62" t="s">
        <v>414</v>
      </c>
      <c r="F22" s="18" t="s">
        <v>388</v>
      </c>
      <c r="G22" s="18" t="s">
        <v>415</v>
      </c>
      <c r="H22" s="18" t="s">
        <v>416</v>
      </c>
    </row>
    <row r="23" customFormat="false" ht="18" hidden="false" customHeight="true" outlineLevel="0" collapsed="false">
      <c r="A23" s="61" t="s">
        <v>417</v>
      </c>
      <c r="B23" s="61"/>
      <c r="C23" s="61"/>
      <c r="D23" s="61"/>
      <c r="E23" s="61"/>
      <c r="F23" s="61"/>
      <c r="G23" s="61"/>
      <c r="H23" s="61"/>
    </row>
    <row r="24" customFormat="false" ht="15.75" hidden="false" customHeight="true" outlineLevel="0" collapsed="false">
      <c r="A24" s="15" t="s">
        <v>418</v>
      </c>
      <c r="B24" s="18" t="s">
        <v>419</v>
      </c>
      <c r="C24" s="19" t="s">
        <v>420</v>
      </c>
      <c r="D24" s="18" t="s">
        <v>338</v>
      </c>
      <c r="E24" s="62" t="s">
        <v>421</v>
      </c>
      <c r="F24" s="18" t="s">
        <v>388</v>
      </c>
      <c r="G24" s="18" t="s">
        <v>422</v>
      </c>
      <c r="H24" s="18" t="s">
        <v>423</v>
      </c>
    </row>
    <row r="25" customFormat="false" ht="15.75" hidden="false" customHeight="true" outlineLevel="0" collapsed="false">
      <c r="A25" s="23" t="s">
        <v>424</v>
      </c>
      <c r="B25" s="25" t="s">
        <v>425</v>
      </c>
      <c r="C25" s="26" t="s">
        <v>170</v>
      </c>
      <c r="D25" s="25" t="s">
        <v>338</v>
      </c>
      <c r="E25" s="63" t="s">
        <v>426</v>
      </c>
      <c r="F25" s="25" t="s">
        <v>388</v>
      </c>
      <c r="G25" s="25" t="s">
        <v>427</v>
      </c>
      <c r="H25" s="25" t="s">
        <v>428</v>
      </c>
    </row>
    <row r="26" customFormat="false" ht="18" hidden="false" customHeight="true" outlineLevel="0" collapsed="false">
      <c r="A26" s="61" t="s">
        <v>429</v>
      </c>
      <c r="B26" s="61"/>
      <c r="C26" s="61"/>
      <c r="D26" s="61"/>
      <c r="E26" s="61"/>
      <c r="F26" s="61"/>
      <c r="G26" s="61"/>
      <c r="H26" s="61"/>
    </row>
    <row r="27" customFormat="false" ht="15.75" hidden="false" customHeight="true" outlineLevel="0" collapsed="false">
      <c r="A27" s="23" t="s">
        <v>430</v>
      </c>
      <c r="B27" s="25" t="s">
        <v>431</v>
      </c>
      <c r="C27" s="26" t="s">
        <v>432</v>
      </c>
      <c r="D27" s="25" t="s">
        <v>338</v>
      </c>
      <c r="E27" s="63" t="s">
        <v>433</v>
      </c>
      <c r="F27" s="25" t="s">
        <v>114</v>
      </c>
      <c r="G27" s="25" t="s">
        <v>434</v>
      </c>
      <c r="H27" s="25" t="s">
        <v>435</v>
      </c>
    </row>
    <row r="28" customFormat="false" ht="15.75" hidden="false" customHeight="true" outlineLevel="0" collapsed="false">
      <c r="A28" s="15" t="s">
        <v>436</v>
      </c>
      <c r="B28" s="18" t="s">
        <v>437</v>
      </c>
      <c r="C28" s="19" t="s">
        <v>438</v>
      </c>
      <c r="D28" s="18" t="s">
        <v>338</v>
      </c>
      <c r="E28" s="62" t="s">
        <v>439</v>
      </c>
      <c r="F28" s="18" t="s">
        <v>114</v>
      </c>
      <c r="G28" s="18" t="s">
        <v>440</v>
      </c>
      <c r="H28" s="18" t="s">
        <v>441</v>
      </c>
    </row>
    <row r="29" customFormat="false" ht="18" hidden="false" customHeight="true" outlineLevel="0" collapsed="false">
      <c r="A29" s="61" t="s">
        <v>442</v>
      </c>
      <c r="B29" s="61"/>
      <c r="C29" s="61"/>
      <c r="D29" s="61"/>
      <c r="E29" s="61"/>
      <c r="F29" s="61"/>
      <c r="G29" s="61"/>
      <c r="H29" s="61"/>
    </row>
    <row r="30" customFormat="false" ht="15.75" hidden="false" customHeight="true" outlineLevel="0" collapsed="false">
      <c r="A30" s="15" t="s">
        <v>443</v>
      </c>
      <c r="B30" s="18" t="s">
        <v>444</v>
      </c>
      <c r="C30" s="19" t="s">
        <v>98</v>
      </c>
      <c r="D30" s="18" t="s">
        <v>330</v>
      </c>
      <c r="E30" s="62" t="s">
        <v>344</v>
      </c>
      <c r="F30" s="18" t="s">
        <v>445</v>
      </c>
      <c r="G30" s="18" t="s">
        <v>344</v>
      </c>
      <c r="H30" s="18" t="s">
        <v>446</v>
      </c>
    </row>
    <row r="31" customFormat="false" ht="15.75" hidden="false" customHeight="true" outlineLevel="0" collapsed="false">
      <c r="A31" s="23" t="s">
        <v>447</v>
      </c>
      <c r="B31" s="25" t="s">
        <v>448</v>
      </c>
      <c r="C31" s="26" t="s">
        <v>449</v>
      </c>
      <c r="D31" s="25" t="s">
        <v>338</v>
      </c>
      <c r="E31" s="63" t="s">
        <v>344</v>
      </c>
      <c r="F31" s="25" t="s">
        <v>344</v>
      </c>
      <c r="G31" s="25" t="s">
        <v>344</v>
      </c>
      <c r="H31" s="25" t="s">
        <v>450</v>
      </c>
    </row>
  </sheetData>
  <mergeCells count="7">
    <mergeCell ref="A1:H1"/>
    <mergeCell ref="A3:H3"/>
    <mergeCell ref="A12:H12"/>
    <mergeCell ref="A16:H16"/>
    <mergeCell ref="A23:H23"/>
    <mergeCell ref="A26:H26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64" t="s">
        <v>452</v>
      </c>
      <c r="B2" s="64"/>
      <c r="C2" s="64"/>
      <c r="D2" s="64"/>
      <c r="E2" s="64"/>
      <c r="F2" s="64"/>
      <c r="G2" s="64"/>
    </row>
    <row r="3" customFormat="false" ht="21.75" hidden="false" customHeight="true" outlineLevel="0" collapsed="false">
      <c r="A3" s="4" t="s">
        <v>453</v>
      </c>
      <c r="B3" s="4" t="s">
        <v>454</v>
      </c>
      <c r="C3" s="4" t="s">
        <v>455</v>
      </c>
      <c r="D3" s="4" t="s">
        <v>456</v>
      </c>
      <c r="E3" s="4" t="s">
        <v>457</v>
      </c>
      <c r="F3" s="4" t="s">
        <v>458</v>
      </c>
      <c r="G3" s="4" t="s">
        <v>459</v>
      </c>
    </row>
    <row r="4" customFormat="false" ht="15.75" hidden="false" customHeight="true" outlineLevel="0" collapsed="false">
      <c r="A4" s="25" t="s">
        <v>460</v>
      </c>
      <c r="B4" s="26" t="s">
        <v>461</v>
      </c>
      <c r="C4" s="25" t="s">
        <v>330</v>
      </c>
      <c r="D4" s="25" t="s">
        <v>369</v>
      </c>
      <c r="E4" s="25" t="s">
        <v>462</v>
      </c>
      <c r="F4" s="25" t="s">
        <v>344</v>
      </c>
      <c r="G4" s="25" t="s">
        <v>463</v>
      </c>
    </row>
    <row r="5" customFormat="false" ht="15.75" hidden="false" customHeight="true" outlineLevel="0" collapsed="false">
      <c r="A5" s="18" t="s">
        <v>464</v>
      </c>
      <c r="B5" s="19" t="s">
        <v>465</v>
      </c>
      <c r="C5" s="18" t="s">
        <v>338</v>
      </c>
      <c r="D5" s="18" t="s">
        <v>375</v>
      </c>
      <c r="E5" s="18" t="s">
        <v>466</v>
      </c>
      <c r="F5" s="18" t="s">
        <v>467</v>
      </c>
      <c r="G5" s="18" t="s">
        <v>468</v>
      </c>
    </row>
    <row r="6" customFormat="false" ht="15.75" hidden="false" customHeight="true" outlineLevel="0" collapsed="false">
      <c r="A6" s="25" t="s">
        <v>469</v>
      </c>
      <c r="B6" s="26" t="s">
        <v>470</v>
      </c>
      <c r="C6" s="25" t="s">
        <v>338</v>
      </c>
      <c r="D6" s="25" t="s">
        <v>471</v>
      </c>
      <c r="E6" s="25" t="s">
        <v>344</v>
      </c>
      <c r="F6" s="25" t="s">
        <v>472</v>
      </c>
      <c r="G6" s="25" t="s">
        <v>473</v>
      </c>
    </row>
    <row r="7" customFormat="false" ht="15.75" hidden="false" customHeight="true" outlineLevel="0" collapsed="false">
      <c r="A7" s="18" t="s">
        <v>474</v>
      </c>
      <c r="B7" s="19" t="s">
        <v>475</v>
      </c>
      <c r="C7" s="18" t="s">
        <v>338</v>
      </c>
      <c r="D7" s="18" t="s">
        <v>381</v>
      </c>
      <c r="E7" s="18" t="s">
        <v>476</v>
      </c>
      <c r="F7" s="18" t="s">
        <v>344</v>
      </c>
      <c r="G7" s="18" t="s">
        <v>477</v>
      </c>
    </row>
    <row r="8" customFormat="false" ht="15.75" hidden="false" customHeight="true" outlineLevel="0" collapsed="false">
      <c r="A8" s="25" t="s">
        <v>357</v>
      </c>
      <c r="B8" s="26" t="s">
        <v>478</v>
      </c>
      <c r="C8" s="25" t="s">
        <v>338</v>
      </c>
      <c r="D8" s="25" t="s">
        <v>364</v>
      </c>
      <c r="E8" s="25" t="s">
        <v>344</v>
      </c>
      <c r="F8" s="25" t="s">
        <v>344</v>
      </c>
      <c r="G8" s="25" t="s">
        <v>479</v>
      </c>
    </row>
    <row r="9" customFormat="false" ht="15.75" hidden="false" customHeight="true" outlineLevel="0" collapsed="false">
      <c r="A9" s="18" t="s">
        <v>480</v>
      </c>
      <c r="B9" s="19" t="s">
        <v>449</v>
      </c>
      <c r="C9" s="18" t="s">
        <v>338</v>
      </c>
      <c r="D9" s="18" t="s">
        <v>481</v>
      </c>
      <c r="E9" s="18" t="s">
        <v>482</v>
      </c>
      <c r="F9" s="18" t="s">
        <v>344</v>
      </c>
      <c r="G9" s="18" t="s">
        <v>483</v>
      </c>
    </row>
    <row r="10" customFormat="false" ht="15.75" hidden="false" customHeight="true" outlineLevel="0" collapsed="false">
      <c r="A10" s="25" t="s">
        <v>484</v>
      </c>
      <c r="B10" s="26" t="s">
        <v>485</v>
      </c>
      <c r="C10" s="25" t="s">
        <v>344</v>
      </c>
      <c r="D10" s="25" t="s">
        <v>370</v>
      </c>
      <c r="E10" s="25" t="s">
        <v>344</v>
      </c>
      <c r="F10" s="25" t="s">
        <v>344</v>
      </c>
      <c r="G10" s="25" t="s">
        <v>486</v>
      </c>
    </row>
    <row r="11" customFormat="false" ht="15.75" hidden="false" customHeight="true" outlineLevel="0" collapsed="false">
      <c r="A11" s="18" t="s">
        <v>487</v>
      </c>
      <c r="B11" s="19" t="s">
        <v>488</v>
      </c>
      <c r="C11" s="18" t="s">
        <v>344</v>
      </c>
      <c r="D11" s="18" t="s">
        <v>376</v>
      </c>
      <c r="E11" s="18" t="s">
        <v>344</v>
      </c>
      <c r="F11" s="18" t="s">
        <v>344</v>
      </c>
      <c r="G11" s="18" t="s">
        <v>489</v>
      </c>
    </row>
    <row r="12" customFormat="false" ht="15.75" hidden="false" customHeight="true" outlineLevel="0" collapsed="false">
      <c r="A12" s="25" t="s">
        <v>490</v>
      </c>
      <c r="B12" s="26" t="s">
        <v>491</v>
      </c>
      <c r="C12" s="25" t="s">
        <v>344</v>
      </c>
      <c r="D12" s="25" t="s">
        <v>382</v>
      </c>
      <c r="E12" s="25" t="s">
        <v>344</v>
      </c>
      <c r="F12" s="25" t="s">
        <v>344</v>
      </c>
      <c r="G12" s="25" t="s">
        <v>492</v>
      </c>
    </row>
    <row r="15" customFormat="false" ht="19.5" hidden="false" customHeight="true" outlineLevel="0" collapsed="false">
      <c r="A15" s="64" t="s">
        <v>493</v>
      </c>
      <c r="B15" s="64"/>
      <c r="C15" s="64"/>
      <c r="D15" s="64"/>
      <c r="E15" s="64"/>
      <c r="F15" s="64"/>
      <c r="G15" s="64"/>
    </row>
    <row r="16" customFormat="false" ht="21.75" hidden="false" customHeight="true" outlineLevel="0" collapsed="false">
      <c r="A16" s="4" t="s">
        <v>494</v>
      </c>
      <c r="B16" s="4" t="s">
        <v>495</v>
      </c>
      <c r="C16" s="4" t="s">
        <v>496</v>
      </c>
      <c r="D16" s="4" t="s">
        <v>497</v>
      </c>
      <c r="E16" s="4" t="s">
        <v>498</v>
      </c>
      <c r="F16" s="4" t="s">
        <v>6</v>
      </c>
      <c r="G16" s="4" t="s">
        <v>197</v>
      </c>
    </row>
    <row r="17" customFormat="false" ht="15.75" hidden="false" customHeight="true" outlineLevel="0" collapsed="false">
      <c r="A17" s="25" t="s">
        <v>499</v>
      </c>
      <c r="B17" s="51" t="s">
        <v>500</v>
      </c>
      <c r="C17" s="25" t="s">
        <v>501</v>
      </c>
      <c r="D17" s="25" t="s">
        <v>502</v>
      </c>
      <c r="E17" s="25" t="s">
        <v>503</v>
      </c>
      <c r="F17" s="17" t="s">
        <v>25</v>
      </c>
      <c r="G17" s="25" t="s">
        <v>504</v>
      </c>
    </row>
    <row r="18" customFormat="false" ht="15.75" hidden="false" customHeight="true" outlineLevel="0" collapsed="false">
      <c r="A18" s="18" t="s">
        <v>505</v>
      </c>
      <c r="B18" s="53" t="s">
        <v>506</v>
      </c>
      <c r="C18" s="18" t="s">
        <v>507</v>
      </c>
      <c r="D18" s="18" t="s">
        <v>508</v>
      </c>
      <c r="E18" s="18" t="s">
        <v>509</v>
      </c>
      <c r="F18" s="17" t="s">
        <v>25</v>
      </c>
      <c r="G18" s="18" t="s">
        <v>510</v>
      </c>
    </row>
    <row r="19" customFormat="false" ht="15.75" hidden="false" customHeight="true" outlineLevel="0" collapsed="false">
      <c r="A19" s="25" t="s">
        <v>511</v>
      </c>
      <c r="B19" s="51" t="s">
        <v>512</v>
      </c>
      <c r="C19" s="25" t="s">
        <v>513</v>
      </c>
      <c r="D19" s="25" t="s">
        <v>514</v>
      </c>
      <c r="E19" s="25" t="s">
        <v>515</v>
      </c>
      <c r="F19" s="17" t="s">
        <v>25</v>
      </c>
      <c r="G19" s="25" t="s">
        <v>516</v>
      </c>
    </row>
    <row r="20" customFormat="false" ht="15.75" hidden="false" customHeight="true" outlineLevel="0" collapsed="false">
      <c r="A20" s="18" t="s">
        <v>517</v>
      </c>
      <c r="B20" s="53" t="s">
        <v>518</v>
      </c>
      <c r="C20" s="18" t="s">
        <v>501</v>
      </c>
      <c r="D20" s="18" t="s">
        <v>519</v>
      </c>
      <c r="E20" s="18" t="s">
        <v>520</v>
      </c>
      <c r="F20" s="17" t="s">
        <v>25</v>
      </c>
      <c r="G20" s="18" t="s">
        <v>521</v>
      </c>
    </row>
    <row r="21" customFormat="false" ht="15.75" hidden="false" customHeight="true" outlineLevel="0" collapsed="false">
      <c r="A21" s="25" t="s">
        <v>522</v>
      </c>
      <c r="B21" s="51" t="s">
        <v>523</v>
      </c>
      <c r="C21" s="25" t="s">
        <v>501</v>
      </c>
      <c r="D21" s="25" t="s">
        <v>519</v>
      </c>
      <c r="E21" s="25" t="s">
        <v>524</v>
      </c>
      <c r="F21" s="17" t="s">
        <v>25</v>
      </c>
      <c r="G21" s="25" t="s">
        <v>525</v>
      </c>
    </row>
    <row r="22" customFormat="false" ht="15.75" hidden="false" customHeight="true" outlineLevel="0" collapsed="false">
      <c r="A22" s="18" t="s">
        <v>526</v>
      </c>
      <c r="B22" s="53" t="s">
        <v>527</v>
      </c>
      <c r="C22" s="18" t="s">
        <v>501</v>
      </c>
      <c r="D22" s="18" t="s">
        <v>528</v>
      </c>
      <c r="E22" s="18" t="s">
        <v>529</v>
      </c>
      <c r="F22" s="17" t="s">
        <v>25</v>
      </c>
      <c r="G22" s="18" t="s">
        <v>530</v>
      </c>
    </row>
    <row r="23" customFormat="false" ht="15.75" hidden="false" customHeight="true" outlineLevel="0" collapsed="false">
      <c r="A23" s="25" t="s">
        <v>531</v>
      </c>
      <c r="B23" s="51" t="s">
        <v>532</v>
      </c>
      <c r="C23" s="25" t="s">
        <v>501</v>
      </c>
      <c r="D23" s="25" t="s">
        <v>533</v>
      </c>
      <c r="E23" s="25" t="s">
        <v>534</v>
      </c>
      <c r="F23" s="17" t="s">
        <v>25</v>
      </c>
      <c r="G23" s="25" t="s">
        <v>535</v>
      </c>
    </row>
    <row r="24" customFormat="false" ht="15.75" hidden="false" customHeight="true" outlineLevel="0" collapsed="false">
      <c r="A24" s="18" t="s">
        <v>536</v>
      </c>
      <c r="B24" s="53" t="s">
        <v>537</v>
      </c>
      <c r="C24" s="18" t="s">
        <v>513</v>
      </c>
      <c r="D24" s="18" t="s">
        <v>538</v>
      </c>
      <c r="E24" s="18" t="s">
        <v>539</v>
      </c>
      <c r="F24" s="17" t="s">
        <v>25</v>
      </c>
      <c r="G24" s="18" t="s">
        <v>540</v>
      </c>
    </row>
    <row r="25" customFormat="false" ht="15.75" hidden="false" customHeight="true" outlineLevel="0" collapsed="false">
      <c r="A25" s="25" t="s">
        <v>541</v>
      </c>
      <c r="B25" s="51" t="s">
        <v>542</v>
      </c>
      <c r="C25" s="25" t="s">
        <v>513</v>
      </c>
      <c r="D25" s="25" t="s">
        <v>543</v>
      </c>
      <c r="E25" s="25" t="s">
        <v>544</v>
      </c>
      <c r="F25" s="17" t="s">
        <v>25</v>
      </c>
      <c r="G25" s="25" t="s">
        <v>545</v>
      </c>
    </row>
    <row r="26" customFormat="false" ht="15.75" hidden="false" customHeight="true" outlineLevel="0" collapsed="false">
      <c r="A26" s="18" t="s">
        <v>546</v>
      </c>
      <c r="B26" s="53" t="s">
        <v>547</v>
      </c>
      <c r="C26" s="18" t="s">
        <v>513</v>
      </c>
      <c r="D26" s="18" t="s">
        <v>548</v>
      </c>
      <c r="E26" s="18" t="s">
        <v>549</v>
      </c>
      <c r="F26" s="17" t="s">
        <v>25</v>
      </c>
      <c r="G26" s="18" t="s">
        <v>550</v>
      </c>
    </row>
    <row r="27" customFormat="false" ht="15.75" hidden="false" customHeight="true" outlineLevel="0" collapsed="false">
      <c r="A27" s="25" t="s">
        <v>551</v>
      </c>
      <c r="B27" s="51" t="s">
        <v>552</v>
      </c>
      <c r="C27" s="25" t="s">
        <v>553</v>
      </c>
      <c r="D27" s="25" t="s">
        <v>554</v>
      </c>
      <c r="E27" s="25" t="s">
        <v>555</v>
      </c>
      <c r="F27" s="17" t="s">
        <v>25</v>
      </c>
      <c r="G27" s="25" t="s">
        <v>556</v>
      </c>
    </row>
    <row r="28" customFormat="false" ht="15.75" hidden="false" customHeight="true" outlineLevel="0" collapsed="false">
      <c r="A28" s="18" t="s">
        <v>557</v>
      </c>
      <c r="B28" s="53" t="s">
        <v>558</v>
      </c>
      <c r="C28" s="18" t="s">
        <v>501</v>
      </c>
      <c r="D28" s="18" t="s">
        <v>514</v>
      </c>
      <c r="E28" s="18" t="s">
        <v>559</v>
      </c>
      <c r="F28" s="17" t="s">
        <v>25</v>
      </c>
      <c r="G28" s="18" t="s">
        <v>560</v>
      </c>
    </row>
    <row r="29" customFormat="false" ht="15.75" hidden="false" customHeight="true" outlineLevel="0" collapsed="false">
      <c r="A29" s="25" t="s">
        <v>561</v>
      </c>
      <c r="B29" s="51" t="s">
        <v>562</v>
      </c>
      <c r="C29" s="25" t="s">
        <v>507</v>
      </c>
      <c r="D29" s="25" t="s">
        <v>514</v>
      </c>
      <c r="E29" s="25" t="s">
        <v>563</v>
      </c>
      <c r="F29" s="17" t="s">
        <v>25</v>
      </c>
      <c r="G29" s="25" t="s">
        <v>564</v>
      </c>
    </row>
    <row r="30" customFormat="false" ht="15.75" hidden="false" customHeight="true" outlineLevel="0" collapsed="false">
      <c r="A30" s="18" t="s">
        <v>267</v>
      </c>
      <c r="B30" s="53" t="s">
        <v>565</v>
      </c>
      <c r="C30" s="18" t="s">
        <v>501</v>
      </c>
      <c r="D30" s="18" t="s">
        <v>566</v>
      </c>
      <c r="E30" s="18" t="s">
        <v>567</v>
      </c>
      <c r="F30" s="17" t="s">
        <v>25</v>
      </c>
      <c r="G30" s="18" t="s">
        <v>568</v>
      </c>
    </row>
    <row r="31" customFormat="false" ht="15.75" hidden="false" customHeight="true" outlineLevel="0" collapsed="false">
      <c r="A31" s="25" t="s">
        <v>569</v>
      </c>
      <c r="B31" s="51" t="s">
        <v>344</v>
      </c>
      <c r="C31" s="25" t="s">
        <v>569</v>
      </c>
      <c r="D31" s="25" t="s">
        <v>570</v>
      </c>
      <c r="E31" s="25" t="s">
        <v>571</v>
      </c>
      <c r="F31" s="17" t="s">
        <v>25</v>
      </c>
      <c r="G31" s="25" t="s">
        <v>572</v>
      </c>
    </row>
    <row r="32" customFormat="false" ht="15.75" hidden="false" customHeight="true" outlineLevel="0" collapsed="false">
      <c r="A32" s="18" t="s">
        <v>573</v>
      </c>
      <c r="B32" s="53" t="s">
        <v>574</v>
      </c>
      <c r="C32" s="18" t="s">
        <v>507</v>
      </c>
      <c r="D32" s="18" t="s">
        <v>575</v>
      </c>
      <c r="E32" s="18" t="s">
        <v>576</v>
      </c>
      <c r="F32" s="17" t="s">
        <v>25</v>
      </c>
      <c r="G32" s="18" t="s">
        <v>577</v>
      </c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65" t="s">
        <v>578</v>
      </c>
      <c r="B1" s="65"/>
      <c r="C1" s="65"/>
    </row>
    <row r="2" customFormat="false" ht="21.75" hidden="false" customHeight="true" outlineLevel="0" collapsed="false">
      <c r="A2" s="66" t="s">
        <v>579</v>
      </c>
      <c r="B2" s="66" t="s">
        <v>580</v>
      </c>
      <c r="C2" s="66" t="s">
        <v>581</v>
      </c>
    </row>
    <row r="3" customFormat="false" ht="15.75" hidden="false" customHeight="true" outlineLevel="0" collapsed="false">
      <c r="A3" s="67" t="s">
        <v>582</v>
      </c>
      <c r="B3" s="68" t="s">
        <v>583</v>
      </c>
      <c r="C3" s="69" t="s">
        <v>584</v>
      </c>
    </row>
    <row r="4" customFormat="false" ht="15.75" hidden="false" customHeight="true" outlineLevel="0" collapsed="false">
      <c r="A4" s="27" t="s">
        <v>585</v>
      </c>
      <c r="B4" s="68" t="s">
        <v>586</v>
      </c>
      <c r="C4" s="28" t="s">
        <v>587</v>
      </c>
    </row>
    <row r="5" customFormat="false" ht="15.75" hidden="false" customHeight="true" outlineLevel="0" collapsed="false">
      <c r="A5" s="67" t="s">
        <v>588</v>
      </c>
      <c r="B5" s="68" t="s">
        <v>589</v>
      </c>
      <c r="C5" s="69" t="s">
        <v>590</v>
      </c>
    </row>
    <row r="6" customFormat="false" ht="15.75" hidden="false" customHeight="true" outlineLevel="0" collapsed="false">
      <c r="A6" s="27" t="s">
        <v>591</v>
      </c>
      <c r="B6" s="68" t="s">
        <v>592</v>
      </c>
      <c r="C6" s="28" t="s">
        <v>593</v>
      </c>
    </row>
    <row r="7" customFormat="false" ht="15.75" hidden="false" customHeight="true" outlineLevel="0" collapsed="false">
      <c r="A7" s="67" t="s">
        <v>594</v>
      </c>
      <c r="B7" s="68" t="s">
        <v>595</v>
      </c>
      <c r="C7" s="69" t="s">
        <v>596</v>
      </c>
    </row>
    <row r="8" customFormat="false" ht="15.75" hidden="false" customHeight="true" outlineLevel="0" collapsed="false">
      <c r="A8" s="27" t="s">
        <v>597</v>
      </c>
      <c r="B8" s="68" t="s">
        <v>598</v>
      </c>
      <c r="C8" s="28" t="s">
        <v>599</v>
      </c>
    </row>
    <row r="9" customFormat="false" ht="15.75" hidden="false" customHeight="true" outlineLevel="0" collapsed="false">
      <c r="A9" s="67" t="s">
        <v>600</v>
      </c>
      <c r="B9" s="68" t="s">
        <v>601</v>
      </c>
      <c r="C9" s="69" t="s">
        <v>602</v>
      </c>
    </row>
    <row r="10" customFormat="false" ht="15.75" hidden="false" customHeight="true" outlineLevel="0" collapsed="false">
      <c r="A10" s="27" t="s">
        <v>603</v>
      </c>
      <c r="B10" s="68" t="s">
        <v>604</v>
      </c>
      <c r="C10" s="28" t="s">
        <v>605</v>
      </c>
    </row>
    <row r="11" customFormat="false" ht="15.75" hidden="false" customHeight="true" outlineLevel="0" collapsed="false">
      <c r="A11" s="67" t="s">
        <v>606</v>
      </c>
      <c r="B11" s="68" t="s">
        <v>607</v>
      </c>
      <c r="C11" s="69" t="s">
        <v>608</v>
      </c>
    </row>
    <row r="12" customFormat="false" ht="15.75" hidden="false" customHeight="true" outlineLevel="0" collapsed="false">
      <c r="A12" s="27" t="s">
        <v>609</v>
      </c>
      <c r="B12" s="68" t="s">
        <v>610</v>
      </c>
      <c r="C12" s="28" t="s">
        <v>611</v>
      </c>
    </row>
    <row r="13" customFormat="false" ht="15.75" hidden="false" customHeight="true" outlineLevel="0" collapsed="false">
      <c r="A13" s="67" t="s">
        <v>612</v>
      </c>
      <c r="B13" s="68" t="s">
        <v>613</v>
      </c>
      <c r="C13" s="69" t="s">
        <v>614</v>
      </c>
    </row>
    <row r="14" customFormat="false" ht="15.75" hidden="false" customHeight="true" outlineLevel="0" collapsed="false">
      <c r="A14" s="27" t="s">
        <v>612</v>
      </c>
      <c r="B14" s="68" t="s">
        <v>615</v>
      </c>
      <c r="C14" s="28" t="s">
        <v>616</v>
      </c>
    </row>
    <row r="15" customFormat="false" ht="15.75" hidden="false" customHeight="true" outlineLevel="0" collapsed="false">
      <c r="A15" s="67" t="s">
        <v>612</v>
      </c>
      <c r="B15" s="68" t="s">
        <v>617</v>
      </c>
      <c r="C15" s="69" t="s">
        <v>618</v>
      </c>
    </row>
    <row r="16" customFormat="false" ht="15.75" hidden="false" customHeight="true" outlineLevel="0" collapsed="false">
      <c r="A16" s="27" t="s">
        <v>619</v>
      </c>
      <c r="B16" s="68" t="s">
        <v>620</v>
      </c>
      <c r="C16" s="28" t="s">
        <v>621</v>
      </c>
    </row>
    <row r="17" customFormat="false" ht="15.75" hidden="false" customHeight="true" outlineLevel="0" collapsed="false">
      <c r="A17" s="67" t="s">
        <v>622</v>
      </c>
      <c r="B17" s="68" t="s">
        <v>623</v>
      </c>
      <c r="C17" s="69" t="s">
        <v>624</v>
      </c>
    </row>
    <row r="18" customFormat="false" ht="15.75" hidden="false" customHeight="true" outlineLevel="0" collapsed="false">
      <c r="A18" s="27" t="s">
        <v>625</v>
      </c>
      <c r="B18" s="68" t="s">
        <v>626</v>
      </c>
      <c r="C18" s="28" t="s">
        <v>627</v>
      </c>
    </row>
    <row r="19" customFormat="false" ht="15.75" hidden="false" customHeight="true" outlineLevel="0" collapsed="false">
      <c r="A19" s="67" t="s">
        <v>628</v>
      </c>
      <c r="B19" s="68" t="s">
        <v>629</v>
      </c>
      <c r="C19" s="69" t="s">
        <v>630</v>
      </c>
    </row>
    <row r="20" customFormat="false" ht="15.75" hidden="false" customHeight="true" outlineLevel="0" collapsed="false">
      <c r="A20" s="27" t="s">
        <v>631</v>
      </c>
      <c r="B20" s="68" t="s">
        <v>632</v>
      </c>
      <c r="C20" s="28" t="s">
        <v>633</v>
      </c>
    </row>
    <row r="21" customFormat="false" ht="15.75" hidden="false" customHeight="true" outlineLevel="0" collapsed="false">
      <c r="A21" s="67" t="s">
        <v>631</v>
      </c>
      <c r="B21" s="68" t="s">
        <v>634</v>
      </c>
      <c r="C21" s="69" t="s">
        <v>635</v>
      </c>
    </row>
    <row r="22" customFormat="false" ht="15.75" hidden="false" customHeight="true" outlineLevel="0" collapsed="false">
      <c r="A22" s="27" t="s">
        <v>499</v>
      </c>
      <c r="B22" s="68" t="s">
        <v>636</v>
      </c>
      <c r="C22" s="28" t="s">
        <v>637</v>
      </c>
    </row>
    <row r="23" customFormat="false" ht="15.75" hidden="false" customHeight="true" outlineLevel="0" collapsed="false">
      <c r="A23" s="67" t="s">
        <v>638</v>
      </c>
      <c r="B23" s="68" t="s">
        <v>639</v>
      </c>
      <c r="C23" s="69" t="s">
        <v>640</v>
      </c>
    </row>
    <row r="24" customFormat="false" ht="15.75" hidden="false" customHeight="true" outlineLevel="0" collapsed="false">
      <c r="A24" s="27" t="s">
        <v>641</v>
      </c>
      <c r="B24" s="68" t="s">
        <v>642</v>
      </c>
      <c r="C24" s="28" t="s">
        <v>643</v>
      </c>
    </row>
    <row r="25" customFormat="false" ht="15.75" hidden="false" customHeight="true" outlineLevel="0" collapsed="false">
      <c r="A25" s="67" t="s">
        <v>644</v>
      </c>
      <c r="B25" s="68" t="s">
        <v>645</v>
      </c>
      <c r="C25" s="69" t="s">
        <v>646</v>
      </c>
    </row>
    <row r="26" customFormat="false" ht="15.75" hidden="false" customHeight="true" outlineLevel="0" collapsed="false">
      <c r="A26" s="27" t="s">
        <v>647</v>
      </c>
      <c r="B26" s="68" t="s">
        <v>648</v>
      </c>
      <c r="C26" s="28" t="s">
        <v>649</v>
      </c>
    </row>
    <row r="27" customFormat="false" ht="15.75" hidden="false" customHeight="true" outlineLevel="0" collapsed="false">
      <c r="A27" s="67" t="s">
        <v>650</v>
      </c>
      <c r="B27" s="68" t="s">
        <v>651</v>
      </c>
      <c r="C27" s="69" t="s">
        <v>652</v>
      </c>
    </row>
    <row r="28" customFormat="false" ht="15.75" hidden="false" customHeight="true" outlineLevel="0" collapsed="false">
      <c r="A28" s="27" t="s">
        <v>653</v>
      </c>
      <c r="B28" s="68" t="s">
        <v>654</v>
      </c>
      <c r="C28" s="28" t="s">
        <v>655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2026-03-16T12:54:44Z</dcterms:created>
  <dc:creator>openpyxl</dc:creator>
  <dc:description/>
  <dc:language>en-US</dc:language>
  <cp:lastModifiedBy/>
  <dcterms:modified xsi:type="dcterms:W3CDTF">2026-03-16T12:54:44Z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